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comments8.xml" ContentType="application/vnd.openxmlformats-officedocument.spreadsheetml.comments+xml"/>
  <Override PartName="/xl/comments7.xml" ContentType="application/vnd.openxmlformats-officedocument.spreadsheetml.comments+xml"/>
  <Override PartName="/xl/drawings/_rels/drawing1.xml.rels" ContentType="application/vnd.openxmlformats-package.relationships+xml"/>
  <Override PartName="/xl/drawings/vmlDrawing9.vml" ContentType="application/vnd.openxmlformats-officedocument.vmlDrawing"/>
  <Override PartName="/xl/drawings/vmlDrawing8.vml" ContentType="application/vnd.openxmlformats-officedocument.vmlDrawing"/>
  <Override PartName="/xl/drawings/vmlDrawing12.vml" ContentType="application/vnd.openxmlformats-officedocument.vmlDrawing"/>
  <Override PartName="/xl/drawings/vmlDrawing7.vml" ContentType="application/vnd.openxmlformats-officedocument.vmlDrawing"/>
  <Override PartName="/xl/drawings/vmlDrawing11.vml" ContentType="application/vnd.openxmlformats-officedocument.vmlDrawing"/>
  <Override PartName="/xl/drawings/vmlDrawing6.vml" ContentType="application/vnd.openxmlformats-officedocument.vmlDrawing"/>
  <Override PartName="/xl/drawings/vmlDrawing10.vml" ContentType="application/vnd.openxmlformats-officedocument.vmlDrawing"/>
  <Override PartName="/xl/drawings/vmlDrawing5.vml" ContentType="application/vnd.openxmlformats-officedocument.vmlDrawing"/>
  <Override PartName="/xl/drawings/vmlDrawing4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1.vml" ContentType="application/vnd.openxmlformats-officedocument.vmlDrawing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xl/comments12.xml" ContentType="application/vnd.openxmlformats-officedocument.spreadsheetml.comments+xml"/>
  <Override PartName="/xl/comments11.xml" ContentType="application/vnd.openxmlformats-officedocument.spreadsheetml.comments+xml"/>
  <Override PartName="/xl/comments10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media/image1.wmf" ContentType="image/x-wmf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3.xml.rels" ContentType="application/vnd.openxmlformats-package.relationships+xml"/>
  <Override PartName="/xl/worksheets/_rels/sheet10.xml.rels" ContentType="application/vnd.openxmlformats-package.relationship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Januar" sheetId="1" state="visible" r:id="rId2"/>
    <sheet name="Februar" sheetId="2" state="visible" r:id="rId3"/>
    <sheet name="März" sheetId="3" state="visible" r:id="rId4"/>
    <sheet name="April" sheetId="4" state="visible" r:id="rId5"/>
    <sheet name="Mai" sheetId="5" state="visible" r:id="rId6"/>
    <sheet name="Juni" sheetId="6" state="visible" r:id="rId7"/>
    <sheet name="Juli" sheetId="7" state="visible" r:id="rId8"/>
    <sheet name="August" sheetId="8" state="visible" r:id="rId9"/>
    <sheet name="September" sheetId="9" state="visible" r:id="rId10"/>
    <sheet name="Oktober" sheetId="10" state="visible" r:id="rId11"/>
    <sheet name="November" sheetId="11" state="visible" r:id="rId12"/>
    <sheet name="Dezember" sheetId="12" state="visible" r:id="rId13"/>
    <sheet name="Anmerkungen" sheetId="13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8" authorId="0">
      <text>
        <r>
          <rPr>
            <sz val="10"/>
            <rFont val="Arial"/>
            <family val="0"/>
            <charset val="1"/>
          </rPr>
          <t xml:space="preserve">Neujahr</t>
        </r>
      </text>
    </comment>
    <comment ref="B13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3 Holy Kings :o)
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3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Rosenmontag
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0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Karfreitag
</t>
        </r>
      </text>
    </comment>
    <comment ref="A13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Ostermontag
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21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Chr. Himmelfahrt</t>
        </r>
      </text>
    </comment>
    <comment ref="A32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Pfingstmontag
</t>
        </r>
      </text>
    </comment>
    <comment ref="B8" authorId="0">
      <text>
        <r>
          <rPr>
            <sz val="10"/>
            <rFont val="Arial"/>
            <family val="0"/>
            <charset val="1"/>
          </rPr>
          <t xml:space="preserve">Tag der Arbeit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1" authorId="0">
      <text>
        <r>
          <rPr>
            <sz val="10"/>
            <rFont val="Arial"/>
            <family val="0"/>
            <charset val="1"/>
          </rPr>
          <t xml:space="preserve">Nicole Oechelhäuser:
</t>
        </r>
        <r>
          <rPr>
            <sz val="9"/>
            <color rgb="FF000000"/>
            <rFont val="Segoe UI"/>
            <family val="0"/>
            <charset val="1"/>
          </rPr>
          <t xml:space="preserve">Fronleichnam
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0" authorId="0">
      <text>
        <r>
          <rPr>
            <sz val="10"/>
            <rFont val="Arial"/>
            <family val="0"/>
            <charset val="1"/>
          </rPr>
          <t xml:space="preserve">Tag der deutschen Einheit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1" authorId="0">
      <text>
        <r>
          <rPr>
            <sz val="10"/>
            <rFont val="Arial"/>
            <family val="0"/>
            <charset val="1"/>
          </rPr>
          <t xml:space="preserve">Heiligabend
</t>
        </r>
      </text>
    </comment>
    <comment ref="B32" authorId="0">
      <text>
        <r>
          <rPr>
            <sz val="10"/>
            <rFont val="Arial"/>
            <family val="0"/>
            <charset val="1"/>
          </rPr>
          <t xml:space="preserve">1. Weihnachtstag</t>
        </r>
      </text>
    </comment>
    <comment ref="B33" authorId="0">
      <text>
        <r>
          <rPr>
            <sz val="10"/>
            <rFont val="Arial"/>
            <family val="0"/>
            <charset val="1"/>
          </rPr>
          <t xml:space="preserve">2. Weihnachtstag</t>
        </r>
      </text>
    </comment>
    <comment ref="B38" authorId="0">
      <text>
        <r>
          <rPr>
            <sz val="10"/>
            <rFont val="Arial"/>
            <family val="0"/>
            <charset val="1"/>
          </rPr>
          <t xml:space="preserve">Silvester
</t>
        </r>
      </text>
    </comment>
    <comment ref="K7" authorId="0">
      <text>
        <r>
          <rPr>
            <sz val="10"/>
            <rFont val="Arial"/>
            <family val="0"/>
            <charset val="1"/>
          </rPr>
          <t xml:space="preserve">U = Urlaub; tragen Sie bei Urlaub in dieser Spalte ein " U " ein; das Zeitguthaben wird automatisch berücksichtigt.
K = krank; tragen Sie bei ganztätiger Arbeitsunfähigkeit wegen Erkrankung in dieser Spalte ein " K " ein, das Zeitguthaben wird automatisch berücksichtigt.
</t>
        </r>
      </text>
    </comment>
  </commentList>
</comments>
</file>

<file path=xl/sharedStrings.xml><?xml version="1.0" encoding="utf-8"?>
<sst xmlns="http://schemas.openxmlformats.org/spreadsheetml/2006/main" count="1149" uniqueCount="112">
  <si>
    <t xml:space="preserve">Arbeitszeiterfassung 2026</t>
  </si>
  <si>
    <t xml:space="preserve">Name:</t>
  </si>
  <si>
    <t xml:space="preserve">Andrea Keller-Brockmann</t>
  </si>
  <si>
    <t xml:space="preserve">Monat:</t>
  </si>
  <si>
    <t xml:space="preserve">Januar</t>
  </si>
  <si>
    <t xml:space="preserve">Datum</t>
  </si>
  <si>
    <t xml:space="preserve">Arbeitsphase</t>
  </si>
  <si>
    <t xml:space="preserve">Unterbrechungen</t>
  </si>
  <si>
    <t xml:space="preserve">Arbeitsstunden</t>
  </si>
  <si>
    <t xml:space="preserve">Anmerkungen</t>
  </si>
  <si>
    <t xml:space="preserve">Beginn</t>
  </si>
  <si>
    <t xml:space="preserve">Ende</t>
  </si>
  <si>
    <t xml:space="preserve">Ist</t>
  </si>
  <si>
    <t xml:space="preserve">Soll</t>
  </si>
  <si>
    <t xml:space="preserve">Anm. U/K</t>
  </si>
  <si>
    <t xml:space="preserve">Do</t>
  </si>
  <si>
    <t xml:space="preserve">1.</t>
  </si>
  <si>
    <t xml:space="preserve">Mo</t>
  </si>
  <si>
    <t xml:space="preserve">Fr</t>
  </si>
  <si>
    <t xml:space="preserve">2.</t>
  </si>
  <si>
    <t xml:space="preserve">Di</t>
  </si>
  <si>
    <t xml:space="preserve">Sa </t>
  </si>
  <si>
    <t xml:space="preserve">3.</t>
  </si>
  <si>
    <t xml:space="preserve">Mi</t>
  </si>
  <si>
    <t xml:space="preserve">So</t>
  </si>
  <si>
    <t xml:space="preserve">4.</t>
  </si>
  <si>
    <t xml:space="preserve">5.</t>
  </si>
  <si>
    <t xml:space="preserve">U</t>
  </si>
  <si>
    <t xml:space="preserve">6.</t>
  </si>
  <si>
    <t xml:space="preserve">Sa/So</t>
  </si>
  <si>
    <t xml:space="preserve">7.</t>
  </si>
  <si>
    <t xml:space="preserve">8.</t>
  </si>
  <si>
    <t xml:space="preserve">9.</t>
  </si>
  <si>
    <t xml:space="preserve">Sa</t>
  </si>
  <si>
    <t xml:space="preserve">10.</t>
  </si>
  <si>
    <t xml:space="preserve">11.</t>
  </si>
  <si>
    <t xml:space="preserve">12.</t>
  </si>
  <si>
    <t xml:space="preserve">K</t>
  </si>
  <si>
    <t xml:space="preserve">13.</t>
  </si>
  <si>
    <t xml:space="preserve">TW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</si>
  <si>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</si>
  <si>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</si>
  <si>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</si>
  <si>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</si>
  <si>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</si>
  <si>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</si>
  <si>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 </t>
  </si>
  <si>
    <t xml:space="preserve">20.</t>
  </si>
  <si>
    <t xml:space="preserve">21.</t>
  </si>
  <si>
    <t xml:space="preserve">22.</t>
  </si>
  <si>
    <t xml:space="preserve">23.</t>
  </si>
  <si>
    <t xml:space="preserve">24.</t>
  </si>
  <si>
    <t xml:space="preserve">25.</t>
  </si>
  <si>
    <t xml:space="preserve">26.</t>
  </si>
  <si>
    <t xml:space="preserve">27.</t>
  </si>
  <si>
    <t xml:space="preserve">28.</t>
  </si>
  <si>
    <t xml:space="preserve">29.</t>
  </si>
  <si>
    <t xml:space="preserve">30.</t>
  </si>
  <si>
    <t xml:space="preserve">31.</t>
  </si>
  <si>
    <t xml:space="preserve">monatliche Arbeitstunden</t>
  </si>
  <si>
    <t xml:space="preserve">Ist-Arbeitsstunden</t>
  </si>
  <si>
    <t xml:space="preserve">Erholungsurlaub </t>
  </si>
  <si>
    <t xml:space="preserve">Resturlaub 2025</t>
  </si>
  <si>
    <t xml:space="preserve">zzgl. Zeitguthaben Vormonat</t>
  </si>
  <si>
    <t xml:space="preserve">Jahresurlaub 2026</t>
  </si>
  <si>
    <t xml:space="preserve">abzgl. Zeitdefizit Vormonat</t>
  </si>
  <si>
    <t xml:space="preserve">-</t>
  </si>
  <si>
    <t xml:space="preserve">Zusatzurlaub SGB IX</t>
  </si>
  <si>
    <t xml:space="preserve">Gesamturlaub 2026</t>
  </si>
  <si>
    <t xml:space="preserve">abzgl. Soll-Arbeitstunden</t>
  </si>
  <si>
    <t xml:space="preserve">genommener Urlaub</t>
  </si>
  <si>
    <t xml:space="preserve">Zeitguthaben Januar</t>
  </si>
  <si>
    <t xml:space="preserve">Anspruch 2026</t>
  </si>
  <si>
    <t xml:space="preserve">Zeitdefizit Januar</t>
  </si>
  <si>
    <t xml:space="preserve">Unterschrift Dienstvorgesetzte/r (Pfarrei):_________________________________________</t>
  </si>
  <si>
    <t xml:space="preserve">Februar</t>
  </si>
  <si>
    <t xml:space="preserve">Ü-frei</t>
  </si>
  <si>
    <t xml:space="preserve">kein Clemenshaus</t>
  </si>
  <si>
    <t xml:space="preserve">Aschermittwoch in 2 Kitas für Alle</t>
  </si>
  <si>
    <t xml:space="preserve">Zeitguthaben Februar</t>
  </si>
  <si>
    <t xml:space="preserve">Zeitdefizit Februar</t>
  </si>
  <si>
    <t xml:space="preserve">März</t>
  </si>
  <si>
    <t xml:space="preserve">Zeitguthaben März</t>
  </si>
  <si>
    <t xml:space="preserve">Zeitdefizit März</t>
  </si>
  <si>
    <t xml:space="preserve">April</t>
  </si>
  <si>
    <t xml:space="preserve">Zeitguthaben April</t>
  </si>
  <si>
    <t xml:space="preserve">Zeitdefizit April</t>
  </si>
  <si>
    <t xml:space="preserve">Mai</t>
  </si>
  <si>
    <t xml:space="preserve">Zeitguthaben Mai</t>
  </si>
  <si>
    <t xml:space="preserve">Zeitdefizit Mai</t>
  </si>
  <si>
    <t xml:space="preserve">Juni</t>
  </si>
  <si>
    <t xml:space="preserve">Zeitguthaben Juni</t>
  </si>
  <si>
    <t xml:space="preserve">Zeitdefizit Juni</t>
  </si>
  <si>
    <t xml:space="preserve">Juli</t>
  </si>
  <si>
    <t xml:space="preserve">Zeitguthaben Juli</t>
  </si>
  <si>
    <t xml:space="preserve">Zeitdefizit Juli</t>
  </si>
  <si>
    <t xml:space="preserve">August</t>
  </si>
  <si>
    <t xml:space="preserve">Zeitguthaben August</t>
  </si>
  <si>
    <t xml:space="preserve">Zeitdefizit August</t>
  </si>
  <si>
    <t xml:space="preserve">September</t>
  </si>
  <si>
    <t xml:space="preserve">Zeitguthaben September</t>
  </si>
  <si>
    <t xml:space="preserve">Zeitdefizit September</t>
  </si>
  <si>
    <t xml:space="preserve">Dezernat:</t>
  </si>
  <si>
    <t xml:space="preserve">Oktober</t>
  </si>
  <si>
    <t xml:space="preserve">Zeitguthaben Oktober</t>
  </si>
  <si>
    <t xml:space="preserve">Zeitdefizit Oktober</t>
  </si>
  <si>
    <t xml:space="preserve">November</t>
  </si>
  <si>
    <t xml:space="preserve">Zeitguthaben November</t>
  </si>
  <si>
    <t xml:space="preserve">Zeitdefizit November</t>
  </si>
  <si>
    <t xml:space="preserve">Dezember</t>
  </si>
  <si>
    <t xml:space="preserve">Zeitguthaben Dezember</t>
  </si>
  <si>
    <t xml:space="preserve">Zeitdefizit Dezember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</si>
</sst>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hh:mm"/>
    <numFmt numFmtId="166" formatCode="d/\ mmm"/>
    <numFmt numFmtId="167" formatCode="[hh]:mm"/>
    <numFmt numFmtId="168" formatCode="[h]:mm:ss"/>
    <numFmt numFmtId="169" formatCode="General"/>
  </numFmts>
  <fonts count="12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2"/>
      <charset val="1"/>
    </font>
    <font>
      <sz val="12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  <font>
      <i val="true"/>
      <sz val="10"/>
      <color rgb="FFFF000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Arial"/>
      <family val="2"/>
      <charset val="1"/>
    </font>
    <font>
      <sz val="9"/>
      <color rgb="FF000000"/>
      <name val="Segoe UI"/>
      <family val="0"/>
      <charset val="1"/>
    </font>
  </fonts>
  <fills count="2">
    <fill>
      <patternFill patternType="none"/>
    </fill>
    <fill>
      <patternFill patternType="gray125"/>
    </fill>
  </fills>
  <borders count="2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4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17280</xdr:rowOff>
    </xdr:from>
    <xdr:to>
      <xdr:col>7</xdr:col>
      <xdr:colOff>408600</xdr:colOff>
      <xdr:row>37</xdr:row>
      <xdr:rowOff>2880</xdr:rowOff>
    </xdr:to>
    <xdr:pic>
      <xdr:nvPicPr>
        <xdr:cNvPr id="0" name="Bild 1" descr=""/>
        <xdr:cNvPicPr/>
      </xdr:nvPicPr>
      <xdr:blipFill>
        <a:blip r:embed="rId1"/>
        <a:stretch/>
      </xdr:blipFill>
      <xdr:spPr>
        <a:xfrm>
          <a:off x="0" y="17280"/>
          <a:ext cx="6076080" cy="59767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true" hidden="false" outlineLevel="0" max="11" min="11" style="0" width="10.65"/>
    <col collapsed="false" customWidth="true" hidden="false" outlineLevel="0" max="12" min="12" style="0" width="9.33"/>
    <col collapsed="false" customWidth="true" hidden="true" outlineLevel="0" max="13" min="13" style="1" width="5.55"/>
    <col collapsed="false" customWidth="true" hidden="true" outlineLevel="0" max="14" min="14" style="1" width="4.56"/>
    <col collapsed="false" customWidth="true" hidden="true" outlineLevel="0" max="15" min="15" style="0" width="4.56"/>
    <col collapsed="false" customWidth="true" hidden="true" outlineLevel="0" max="16" min="16" style="0" width="6.35"/>
    <col collapsed="false" customWidth="true" hidden="true" outlineLevel="0" max="17" min="17" style="0" width="8.33"/>
    <col collapsed="false" customWidth="true" hidden="true" outlineLevel="0" max="18" min="18" style="0" width="5.55"/>
    <col collapsed="false" customWidth="false" hidden="true" outlineLevel="0" max="19" min="19" style="0" width="11.45"/>
  </cols>
  <sheetData>
    <row r="1" customFormat="false" ht="19.5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2.75" hidden="false" customHeight="false" outlineLevel="0" collapsed="false">
      <c r="P3" s="4"/>
    </row>
    <row r="4" s="5" customFormat="true" ht="15" hidden="false" customHeight="false" outlineLevel="0" collapsed="false">
      <c r="B4" s="5" t="s">
        <v>1</v>
      </c>
      <c r="C4" s="6" t="s">
        <v>2</v>
      </c>
      <c r="G4" s="7"/>
      <c r="H4" s="6"/>
      <c r="K4" s="7" t="s">
        <v>3</v>
      </c>
      <c r="L4" s="5" t="s">
        <v>4</v>
      </c>
      <c r="M4" s="8"/>
      <c r="N4" s="8"/>
      <c r="P4" s="9"/>
    </row>
    <row r="5" customFormat="false" ht="12.75" hidden="false" customHeight="false" outlineLevel="0" collapsed="false">
      <c r="K5" s="10"/>
      <c r="L5" s="10"/>
    </row>
    <row r="6" s="16" customFormat="true" ht="12.75" hidden="false" customHeight="false" outlineLevel="0" collapsed="false">
      <c r="A6" s="11"/>
      <c r="B6" s="12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18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23" t="s">
        <v>15</v>
      </c>
      <c r="B8" s="2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v>0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P8" s="29" t="s">
        <v>17</v>
      </c>
      <c r="Q8" s="4" t="n">
        <f aca="false">Q21</f>
        <v>0.166666666666667</v>
      </c>
      <c r="R8" s="4" t="n">
        <f aca="false">IF(A8="Mo",$Q$8,IF(A8="Di",$Q$9,IF(A8="Mi",$Q$10,IF(A8="Do",$Q$11,IF(A8="Fr",$Q$12,$Q$13)))))</f>
        <v>0.166666666666667</v>
      </c>
    </row>
    <row r="9" customFormat="false" ht="12.75" hidden="false" customHeight="false" outlineLevel="0" collapsed="false">
      <c r="A9" s="23" t="s">
        <v>18</v>
      </c>
      <c r="B9" s="24" t="s">
        <v>19</v>
      </c>
      <c r="C9" s="25"/>
      <c r="D9" s="26"/>
      <c r="E9" s="25"/>
      <c r="F9" s="27"/>
      <c r="G9" s="27"/>
      <c r="H9" s="26"/>
      <c r="I9" s="28" t="n">
        <f aca="false">D9-C9-F9+E9-H9+G9+N9+O9</f>
        <v>0</v>
      </c>
      <c r="J9" s="29" t="n">
        <f aca="false">R9</f>
        <v>0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P9" s="29" t="s">
        <v>20</v>
      </c>
      <c r="Q9" s="4" t="n">
        <f aca="false">Q21</f>
        <v>0.166666666666667</v>
      </c>
      <c r="R9" s="4" t="n">
        <f aca="false">IF(A9="Mo",$Q$8,IF(A9="Di",$Q$9,IF(A9="Mi",$Q$10,IF(A9="Do",$Q$11,IF(A9="Fr",$Q$12,$Q$13)))))</f>
        <v>0</v>
      </c>
    </row>
    <row r="10" customFormat="false" ht="12.75" hidden="false" customHeight="false" outlineLevel="0" collapsed="false">
      <c r="A10" s="23" t="s">
        <v>21</v>
      </c>
      <c r="B10" s="33" t="s">
        <v>22</v>
      </c>
      <c r="C10" s="25"/>
      <c r="D10" s="26"/>
      <c r="E10" s="25"/>
      <c r="F10" s="27"/>
      <c r="G10" s="27"/>
      <c r="H10" s="26"/>
      <c r="I10" s="28" t="n">
        <f aca="false">D10-C10-F10+E10-H10+G10+N10+O10</f>
        <v>0</v>
      </c>
      <c r="J10" s="29" t="n">
        <f aca="false">R10</f>
        <v>0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P10" s="29" t="s">
        <v>23</v>
      </c>
      <c r="Q10" s="4" t="n">
        <f aca="false">Q21</f>
        <v>0.166666666666667</v>
      </c>
      <c r="R10" s="4" t="n">
        <f aca="false">IF(A10="Mo",$Q$8,IF(A10="Di",$Q$9,IF(A10="Mi",$Q$10,IF(A10="Do",$Q$11,IF(A10="Fr",$Q$12,$Q$13)))))</f>
        <v>0</v>
      </c>
    </row>
    <row r="11" customFormat="false" ht="12.75" hidden="false" customHeight="false" outlineLevel="0" collapsed="false">
      <c r="A11" s="23" t="s">
        <v>24</v>
      </c>
      <c r="B11" s="33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f aca="false">R11</f>
        <v>0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P11" s="29" t="s">
        <v>15</v>
      </c>
      <c r="Q11" s="4" t="n">
        <f aca="false">Q21</f>
        <v>0.166666666666667</v>
      </c>
      <c r="R11" s="4" t="n">
        <f aca="false">IF(A11="Mo",$Q$8,IF(A11="Di",$Q$9,IF(A11="Mi",$Q$10,IF(A11="Do",$Q$11,IF(A11="Fr",$Q$12,$Q$13)))))</f>
        <v>0</v>
      </c>
    </row>
    <row r="12" customFormat="false" ht="12.75" hidden="false" customHeight="false" outlineLevel="0" collapsed="false">
      <c r="A12" s="23" t="s">
        <v>17</v>
      </c>
      <c r="B12" s="33" t="s">
        <v>26</v>
      </c>
      <c r="C12" s="25"/>
      <c r="D12" s="26"/>
      <c r="E12" s="25"/>
      <c r="F12" s="27"/>
      <c r="G12" s="27"/>
      <c r="H12" s="26"/>
      <c r="I12" s="28" t="n">
        <v>0.166666666666667</v>
      </c>
      <c r="J12" s="29" t="n">
        <f aca="false">R12</f>
        <v>0.166666666666667</v>
      </c>
      <c r="K12" s="30" t="s">
        <v>27</v>
      </c>
      <c r="L12" s="31"/>
      <c r="M12" s="32" t="n">
        <f aca="false">IF(OR(K12="U",K12="K"),J12,"0:00")</f>
        <v>0.166666666666667</v>
      </c>
      <c r="N12" s="1" t="n">
        <f aca="false">IF(M12&lt;&gt;"0:00",J12,"0:00")</f>
        <v>0.166666666666667</v>
      </c>
      <c r="O12" s="0" t="str">
        <f aca="false">IF(K12="0,5 U","03:51","0:00")</f>
        <v>0:00</v>
      </c>
      <c r="P12" s="29" t="s">
        <v>18</v>
      </c>
      <c r="Q12" s="4" t="n">
        <v>0</v>
      </c>
      <c r="R12" s="4" t="n">
        <f aca="false">IF(A12="Mo",$Q$8,IF(A12="Di",$Q$9,IF(A12="Mi",$Q$10,IF(A12="Do",$Q$11,IF(A12="Fr",$Q$12,$Q$13)))))</f>
        <v>0.166666666666667</v>
      </c>
    </row>
    <row r="13" customFormat="false" ht="12.75" hidden="false" customHeight="false" outlineLevel="0" collapsed="false">
      <c r="A13" s="23" t="s">
        <v>20</v>
      </c>
      <c r="B13" s="33" t="s">
        <v>28</v>
      </c>
      <c r="C13" s="25"/>
      <c r="D13" s="26"/>
      <c r="E13" s="25"/>
      <c r="F13" s="27"/>
      <c r="G13" s="27"/>
      <c r="H13" s="26"/>
      <c r="I13" s="28" t="n">
        <v>0.166666666666667</v>
      </c>
      <c r="J13" s="29" t="n">
        <v>0.166666666666667</v>
      </c>
      <c r="K13" s="30" t="s">
        <v>27</v>
      </c>
      <c r="L13" s="31"/>
      <c r="M13" s="32" t="n">
        <f aca="false">IF(OR(K13="U",K13="K"),J13,"0:00")</f>
        <v>0.166666666666667</v>
      </c>
      <c r="N13" s="1" t="n">
        <f aca="false">IF(M13&lt;&gt;"0:00",J13,"0:00")</f>
        <v>0.166666666666667</v>
      </c>
      <c r="O13" s="0" t="str">
        <f aca="false">IF(K13="0,5 U","03:51","0:00")</f>
        <v>0:00</v>
      </c>
      <c r="P13" s="29" t="s">
        <v>29</v>
      </c>
      <c r="Q13" s="4" t="n">
        <v>0</v>
      </c>
      <c r="R13" s="4" t="n">
        <f aca="false">IF(A13="Mo",$Q$8,IF(A13="Di",$Q$9,IF(A13="Mi",$Q$10,IF(A13="Do",$Q$11,IF(A13="Fr",$Q$12,$Q$13)))))</f>
        <v>0.166666666666667</v>
      </c>
    </row>
    <row r="14" customFormat="false" ht="12.75" hidden="false" customHeight="false" outlineLevel="0" collapsed="false">
      <c r="A14" s="23" t="s">
        <v>23</v>
      </c>
      <c r="B14" s="33" t="s">
        <v>30</v>
      </c>
      <c r="C14" s="25"/>
      <c r="D14" s="26"/>
      <c r="E14" s="25"/>
      <c r="F14" s="27"/>
      <c r="G14" s="27"/>
      <c r="H14" s="26"/>
      <c r="I14" s="28" t="n">
        <v>0.166666666666667</v>
      </c>
      <c r="J14" s="29" t="n">
        <f aca="false">R14</f>
        <v>0.166666666666667</v>
      </c>
      <c r="K14" s="30" t="s">
        <v>27</v>
      </c>
      <c r="L14" s="31"/>
      <c r="M14" s="32" t="n">
        <f aca="false">IF(OR(K14="U",K14="K"),J14,"0:00")</f>
        <v>0.166666666666667</v>
      </c>
      <c r="N14" s="1" t="n">
        <f aca="false">IF(M14&lt;&gt;"0:00",J14,"0:00")</f>
        <v>0.166666666666667</v>
      </c>
      <c r="O14" s="0" t="str">
        <f aca="false">IF(K14="0,5 U","03:51","0:00")</f>
        <v>0:00</v>
      </c>
      <c r="P14" s="29"/>
      <c r="Q14" s="34" t="n">
        <v>0</v>
      </c>
      <c r="R14" s="4" t="n">
        <f aca="false">IF(A14="Mo",$Q$8,IF(A14="Di",$Q$9,IF(A14="Mi",$Q$10,IF(A14="Do",$Q$11,IF(A14="Fr",$Q$12,$Q$13)))))</f>
        <v>0.166666666666667</v>
      </c>
    </row>
    <row r="15" customFormat="false" ht="12.75" hidden="false" customHeight="false" outlineLevel="0" collapsed="false">
      <c r="A15" s="23" t="s">
        <v>15</v>
      </c>
      <c r="B15" s="33" t="s">
        <v>31</v>
      </c>
      <c r="C15" s="25" t="n">
        <v>0.375</v>
      </c>
      <c r="D15" s="26" t="n">
        <v>0.541666666666667</v>
      </c>
      <c r="E15" s="25"/>
      <c r="F15" s="27"/>
      <c r="G15" s="27"/>
      <c r="H15" s="26"/>
      <c r="I15" s="28" t="n">
        <f aca="false">D15-C15-F15+E15-H15+G15+N15+O15</f>
        <v>0.166666666666667</v>
      </c>
      <c r="J15" s="29" t="n">
        <f aca="false">R15</f>
        <v>0.166666666666667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P15" s="4"/>
      <c r="R15" s="4" t="n">
        <f aca="false">IF(A15="Mo",$Q$8,IF(A15="Di",$Q$9,IF(A15="Mi",$Q$10,IF(A15="Do",$Q$11,IF(A15="Fr",$Q$12,$Q$13)))))</f>
        <v>0.166666666666667</v>
      </c>
    </row>
    <row r="16" customFormat="false" ht="13.5" hidden="false" customHeight="false" outlineLevel="0" collapsed="false">
      <c r="A16" s="23" t="s">
        <v>18</v>
      </c>
      <c r="B16" s="33" t="s">
        <v>32</v>
      </c>
      <c r="C16" s="25"/>
      <c r="D16" s="26"/>
      <c r="E16" s="25"/>
      <c r="F16" s="27"/>
      <c r="G16" s="27"/>
      <c r="H16" s="26"/>
      <c r="I16" s="28" t="n">
        <f aca="false">D16-C16-F16+E16-H16+G16+N16+O16</f>
        <v>0</v>
      </c>
      <c r="J16" s="29" t="n">
        <f aca="false">R16</f>
        <v>0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P16" s="4"/>
      <c r="Q16" s="35" t="n">
        <v>1.66666666666667</v>
      </c>
      <c r="R16" s="4" t="n">
        <f aca="false">IF(A16="Mo",$Q$8,IF(A16="Di",$Q$9,IF(A16="Mi",$Q$10,IF(A16="Do",$Q$11,IF(A16="Fr",$Q$12,$Q$13)))))</f>
        <v>0</v>
      </c>
    </row>
    <row r="17" customFormat="false" ht="13.5" hidden="false" customHeight="false" outlineLevel="0" collapsed="false">
      <c r="A17" s="23" t="s">
        <v>33</v>
      </c>
      <c r="B17" s="33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P17" s="36"/>
      <c r="Q17" s="37" t="n">
        <v>40</v>
      </c>
      <c r="R17" s="4" t="n">
        <f aca="false">IF(A17="Mo",$Q$8,IF(A17="Di",$Q$9,IF(A17="Mi",$Q$10,IF(A17="Do",$Q$11,IF(A17="Fr",$Q$12,$Q$13)))))</f>
        <v>0</v>
      </c>
    </row>
    <row r="18" customFormat="false" ht="12.75" hidden="false" customHeight="false" outlineLevel="0" collapsed="false">
      <c r="A18" s="23" t="s">
        <v>24</v>
      </c>
      <c r="B18" s="33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P18" s="4"/>
      <c r="Q18" s="35" t="n">
        <f aca="false">Q16/100*Q17</f>
        <v>0.666666666666667</v>
      </c>
      <c r="R18" s="4" t="n">
        <f aca="false">IF(A18="Mo",$Q$8,IF(A18="Di",$Q$9,IF(A18="Mi",$Q$10,IF(A18="Do",$Q$11,IF(A18="Fr",$Q$12,$Q$13)))))</f>
        <v>0</v>
      </c>
    </row>
    <row r="19" customFormat="false" ht="13.5" hidden="false" customHeight="false" outlineLevel="0" collapsed="false">
      <c r="A19" s="23" t="s">
        <v>17</v>
      </c>
      <c r="B19" s="33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0.166666666666667</v>
      </c>
      <c r="J19" s="29" t="n">
        <f aca="false">R19</f>
        <v>0.166666666666667</v>
      </c>
      <c r="K19" s="30" t="s">
        <v>37</v>
      </c>
      <c r="L19" s="31"/>
      <c r="M19" s="32" t="n">
        <f aca="false">IF(OR(K19="U",K19="K"),J19,"0:00")</f>
        <v>0.166666666666667</v>
      </c>
      <c r="N19" s="1" t="n">
        <f aca="false">IF(M19&lt;&gt;"0:00",J19,"0:00")</f>
        <v>0.166666666666667</v>
      </c>
      <c r="O19" s="0" t="str">
        <f aca="false">IF(K19="0,5 U","03:51","0:00")</f>
        <v>0:00</v>
      </c>
      <c r="Q19" s="35"/>
      <c r="R19" s="4" t="n">
        <f aca="false">IF(A19="Mo",$Q$8,IF(A19="Di",$Q$9,IF(A19="Mi",$Q$10,IF(A19="Do",$Q$11,IF(A19="Fr",$Q$12,$Q$13)))))</f>
        <v>0.166666666666667</v>
      </c>
    </row>
    <row r="20" customFormat="false" ht="13.5" hidden="false" customHeight="false" outlineLevel="0" collapsed="false">
      <c r="A20" s="23" t="s">
        <v>20</v>
      </c>
      <c r="B20" s="33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0.166666666666667</v>
      </c>
      <c r="J20" s="29" t="n">
        <f aca="false">R20</f>
        <v>0.166666666666667</v>
      </c>
      <c r="K20" s="30" t="s">
        <v>37</v>
      </c>
      <c r="L20" s="31"/>
      <c r="M20" s="32" t="n">
        <f aca="false">IF(OR(K20="U",K20="K"),J20,"0:00")</f>
        <v>0.166666666666667</v>
      </c>
      <c r="N20" s="1" t="n">
        <f aca="false">IF(M20&lt;&gt;"0:00",J20,"0:00")</f>
        <v>0.166666666666667</v>
      </c>
      <c r="O20" s="0" t="str">
        <f aca="false">IF(K20="0,5 U","03:51","0:00")</f>
        <v>0:00</v>
      </c>
      <c r="P20" s="38" t="s">
        <v>39</v>
      </c>
      <c r="Q20" s="37" t="n">
        <v>4</v>
      </c>
      <c r="R20" s="4" t="n">
        <f aca="false">IF(A20="Mo",$Q$8,IF(A20="Di",$Q$9,IF(A20="Mi",$Q$10,IF(A20="Do",$Q$11,IF(A20="Fr",$Q$12,$Q$13)))))</f>
        <v>0.166666666666667</v>
      </c>
    </row>
    <row r="21" customFormat="false" ht="12.75" hidden="false" customHeight="false" outlineLevel="0" collapsed="false">
      <c r="A21" s="23" t="s">
        <v>23</v>
      </c>
      <c r="B21" s="33" t="s">
        <v>40</v>
      </c>
      <c r="C21" s="25"/>
      <c r="D21" s="26"/>
      <c r="E21" s="25"/>
      <c r="F21" s="27"/>
      <c r="G21" s="27"/>
      <c r="H21" s="26"/>
      <c r="I21" s="28" t="n">
        <f aca="false">D21-C21-F21+E21-H21+G21+N21+O21</f>
        <v>0.166666666666667</v>
      </c>
      <c r="J21" s="29" t="n">
        <f aca="false">R21</f>
        <v>0.166666666666667</v>
      </c>
      <c r="K21" s="30" t="s">
        <v>37</v>
      </c>
      <c r="L21" s="31"/>
      <c r="M21" s="32" t="n">
        <f aca="false">IF(OR(K21="U",K21="K"),J21,"0:00")</f>
        <v>0.166666666666667</v>
      </c>
      <c r="N21" s="1" t="n">
        <f aca="false">IF(M21&lt;&gt;"0:00",J21,"0:00")</f>
        <v>0.166666666666667</v>
      </c>
      <c r="O21" s="0" t="str">
        <f aca="false">IF(K21="0,5 U","03:51","0:00")</f>
        <v>0:00</v>
      </c>
      <c r="Q21" s="35" t="n">
        <f aca="false">Q18/Q20</f>
        <v>0.166666666666667</v>
      </c>
      <c r="R21" s="4" t="n">
        <f aca="false">IF(A21="Mo",$Q$8,IF(A21="Di",$Q$9,IF(A21="Mi",$Q$10,IF(A21="Do",$Q$11,IF(A21="Fr",$Q$12,$Q$13)))))</f>
        <v>0.166666666666667</v>
      </c>
    </row>
    <row r="22" customFormat="false" ht="12.75" hidden="false" customHeight="false" outlineLevel="0" collapsed="false">
      <c r="A22" s="23" t="s">
        <v>15</v>
      </c>
      <c r="B22" s="33" t="s">
        <v>41</v>
      </c>
      <c r="C22" s="25"/>
      <c r="D22" s="26"/>
      <c r="E22" s="25"/>
      <c r="F22" s="27"/>
      <c r="G22" s="27"/>
      <c r="H22" s="26"/>
      <c r="I22" s="28" t="n">
        <f aca="false">D22-C22-F22+E22-H22+G22+N22+O22</f>
        <v>0.166666666666667</v>
      </c>
      <c r="J22" s="29" t="n">
        <f aca="false">R22</f>
        <v>0.166666666666667</v>
      </c>
      <c r="K22" s="30" t="s">
        <v>37</v>
      </c>
      <c r="L22" s="31"/>
      <c r="M22" s="32" t="n">
        <f aca="false">IF(OR(K22="U",K22="K"),J22,"0:00")</f>
        <v>0.166666666666667</v>
      </c>
      <c r="N22" s="1" t="n">
        <f aca="false">IF(M22&lt;&gt;"0:00",J22,"0:00")</f>
        <v>0.166666666666667</v>
      </c>
      <c r="O22" s="0" t="str">
        <f aca="false">IF(K22="0,5 U","03:51","0:00")</f>
        <v>0:00</v>
      </c>
      <c r="R22" s="4" t="n">
        <f aca="false">IF(A22="Mo",$Q$8,IF(A22="Di",$Q$9,IF(A22="Mi",$Q$10,IF(A22="Do",$Q$11,IF(A22="Fr",$Q$12,$Q$13)))))</f>
        <v>0.166666666666667</v>
      </c>
    </row>
    <row r="23" customFormat="false" ht="12.75" hidden="false" customHeight="false" outlineLevel="0" collapsed="false">
      <c r="A23" s="23" t="s">
        <v>18</v>
      </c>
      <c r="B23" s="33" t="s">
        <v>42</v>
      </c>
      <c r="C23" s="25"/>
      <c r="D23" s="26"/>
      <c r="E23" s="25"/>
      <c r="F23" s="27"/>
      <c r="G23" s="27"/>
      <c r="H23" s="26"/>
      <c r="I23" s="28" t="n">
        <f aca="false">D23-C23-F23+E23-H23+G23+N23+O23</f>
        <v>0</v>
      </c>
      <c r="J23" s="29" t="n">
        <f aca="false">R23</f>
        <v>0</v>
      </c>
      <c r="K23" s="30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IF(A23="Mo",$Q$8,IF(A23="Di",$Q$9,IF(A23="Mi",$Q$10,IF(A23="Do",$Q$11,IF(A23="Fr",$Q$12,$Q$13)))))</f>
        <v>0</v>
      </c>
    </row>
    <row r="24" customFormat="false" ht="12.75" hidden="false" customHeight="false" outlineLevel="0" collapsed="false">
      <c r="A24" s="23" t="s">
        <v>33</v>
      </c>
      <c r="B24" s="33" t="s">
        <v>43</v>
      </c>
      <c r="C24" s="25"/>
      <c r="D24" s="26"/>
      <c r="E24" s="25"/>
      <c r="F24" s="27"/>
      <c r="G24" s="27"/>
      <c r="H24" s="26"/>
      <c r="I24" s="28" t="n">
        <f aca="false">D24-C24-F24+E24-H24+G24+N24+O24</f>
        <v>0</v>
      </c>
      <c r="J24" s="29" t="n">
        <f aca="false">R24</f>
        <v>0</v>
      </c>
      <c r="K24" s="30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IF(A24="Mo",$Q$8,IF(A24="Di",$Q$9,IF(A24="Mi",$Q$10,IF(A24="Do",$Q$11,IF(A24="Fr",$Q$12,$Q$13)))))</f>
        <v>0</v>
      </c>
    </row>
    <row r="25" customFormat="false" ht="12.75" hidden="false" customHeight="false" outlineLevel="0" collapsed="false">
      <c r="A25" s="23" t="s">
        <v>24</v>
      </c>
      <c r="B25" s="33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f aca="false">R25</f>
        <v>0</v>
      </c>
      <c r="K25" s="30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IF(A25="Mo",$Q$8,IF(A25="Di",$Q$9,IF(A25="Mi",$Q$10,IF(A25="Do",$Q$11,IF(A25="Fr",$Q$12,$Q$13)))))</f>
        <v>0</v>
      </c>
    </row>
    <row r="26" customFormat="false" ht="12.75" hidden="false" customHeight="false" outlineLevel="0" collapsed="false">
      <c r="A26" s="23" t="s">
        <v>17</v>
      </c>
      <c r="B26" s="33" t="s">
        <v>45</v>
      </c>
      <c r="C26" s="25" t="n">
        <v>0.354166666666667</v>
      </c>
      <c r="D26" s="26" t="n">
        <v>0.510416666666667</v>
      </c>
      <c r="E26" s="25"/>
      <c r="F26" s="27"/>
      <c r="G26" s="27"/>
      <c r="H26" s="26"/>
      <c r="I26" s="28" t="n">
        <f aca="false">D26-C26-F26+E26-H26+G26+N26+O26</f>
        <v>0.15625</v>
      </c>
      <c r="J26" s="29" t="n">
        <f aca="false">R26</f>
        <v>0.166666666666667</v>
      </c>
      <c r="K26" s="30" t="s">
        <v>46</v>
      </c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IF(A26="Mo",$Q$8,IF(A26="Di",$Q$9,IF(A26="Mi",$Q$10,IF(A26="Do",$Q$11,IF(A26="Fr",$Q$12,$Q$13)))))</f>
        <v>0.166666666666667</v>
      </c>
    </row>
    <row r="27" customFormat="false" ht="12.75" hidden="false" customHeight="false" outlineLevel="0" collapsed="false">
      <c r="A27" s="23" t="s">
        <v>20</v>
      </c>
      <c r="B27" s="33" t="s">
        <v>47</v>
      </c>
      <c r="C27" s="25" t="n">
        <v>0.385416666666667</v>
      </c>
      <c r="D27" s="26" t="n">
        <v>0.666666666666667</v>
      </c>
      <c r="E27" s="25" t="n">
        <v>0.510416666666667</v>
      </c>
      <c r="F27" s="27" t="n">
        <v>0.53125</v>
      </c>
      <c r="G27" s="27"/>
      <c r="H27" s="26"/>
      <c r="I27" s="28" t="n">
        <f aca="false">D27-C27-F27+E27-H27+G27+N27+O27</f>
        <v>0.260416666666667</v>
      </c>
      <c r="J27" s="29" t="n">
        <f aca="false">R27</f>
        <v>0.166666666666667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IF(A27="Mo",$Q$8,IF(A27="Di",$Q$9,IF(A27="Mi",$Q$10,IF(A27="Do",$Q$11,IF(A27="Fr",$Q$12,$Q$13)))))</f>
        <v>0.166666666666667</v>
      </c>
    </row>
    <row r="28" customFormat="false" ht="12.75" hidden="false" customHeight="false" outlineLevel="0" collapsed="false">
      <c r="A28" s="23" t="s">
        <v>23</v>
      </c>
      <c r="B28" s="33" t="s">
        <v>48</v>
      </c>
      <c r="C28" s="25" t="n">
        <v>0.385416666666667</v>
      </c>
      <c r="D28" s="26" t="n">
        <v>0.510416666666667</v>
      </c>
      <c r="E28" s="25"/>
      <c r="F28" s="27"/>
      <c r="G28" s="27"/>
      <c r="H28" s="26"/>
      <c r="I28" s="28" t="n">
        <f aca="false">D28-C28-F28+E28-H28+G28+N28+O28</f>
        <v>0.125</v>
      </c>
      <c r="J28" s="29" t="n">
        <f aca="false">R28</f>
        <v>0.166666666666667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IF(A28="Mo",$Q$8,IF(A28="Di",$Q$9,IF(A28="Mi",$Q$10,IF(A28="Do",$Q$11,IF(A28="Fr",$Q$12,$Q$13)))))</f>
        <v>0.166666666666667</v>
      </c>
    </row>
    <row r="29" customFormat="false" ht="12.75" hidden="false" customHeight="false" outlineLevel="0" collapsed="false">
      <c r="A29" s="23" t="s">
        <v>15</v>
      </c>
      <c r="B29" s="33" t="s">
        <v>49</v>
      </c>
      <c r="C29" s="25" t="n">
        <v>0.375</v>
      </c>
      <c r="D29" s="26" t="n">
        <v>0.5</v>
      </c>
      <c r="E29" s="25"/>
      <c r="F29" s="27"/>
      <c r="G29" s="27"/>
      <c r="H29" s="26"/>
      <c r="I29" s="28" t="n">
        <f aca="false">D29-C29-F29+E29-H29+G29+N29+O29</f>
        <v>0.125</v>
      </c>
      <c r="J29" s="29" t="n">
        <f aca="false">R29</f>
        <v>0.166666666666667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IF(A29="Mo",$Q$8,IF(A29="Di",$Q$9,IF(A29="Mi",$Q$10,IF(A29="Do",$Q$11,IF(A29="Fr",$Q$12,$Q$13)))))</f>
        <v>0.166666666666667</v>
      </c>
    </row>
    <row r="30" customFormat="false" ht="12.75" hidden="false" customHeight="false" outlineLevel="0" collapsed="false">
      <c r="A30" s="23" t="s">
        <v>18</v>
      </c>
      <c r="B30" s="33" t="s">
        <v>50</v>
      </c>
      <c r="C30" s="25"/>
      <c r="D30" s="26"/>
      <c r="E30" s="25"/>
      <c r="F30" s="27"/>
      <c r="G30" s="27"/>
      <c r="H30" s="26"/>
      <c r="I30" s="28" t="n">
        <f aca="false">D30-C30-F30+E30-H30+G30+N30+O30</f>
        <v>0</v>
      </c>
      <c r="J30" s="29" t="n">
        <f aca="false">R30</f>
        <v>0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IF(A30="Mo",$Q$8,IF(A30="Di",$Q$9,IF(A30="Mi",$Q$10,IF(A30="Do",$Q$11,IF(A30="Fr",$Q$12,$Q$13)))))</f>
        <v>0</v>
      </c>
    </row>
    <row r="31" customFormat="false" ht="12.75" hidden="false" customHeight="false" outlineLevel="0" collapsed="false">
      <c r="A31" s="23" t="s">
        <v>33</v>
      </c>
      <c r="B31" s="33" t="s">
        <v>51</v>
      </c>
      <c r="C31" s="25"/>
      <c r="D31" s="26"/>
      <c r="E31" s="25"/>
      <c r="F31" s="27"/>
      <c r="G31" s="27"/>
      <c r="H31" s="26"/>
      <c r="I31" s="28" t="n">
        <f aca="false">D31-C31-F31+E31-H31+G31+N31+O31</f>
        <v>0</v>
      </c>
      <c r="J31" s="29" t="n">
        <f aca="false">R31</f>
        <v>0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IF(A31="Mo",$Q$8,IF(A31="Di",$Q$9,IF(A31="Mi",$Q$10,IF(A31="Do",$Q$11,IF(A31="Fr",$Q$12,$Q$13)))))</f>
        <v>0</v>
      </c>
    </row>
    <row r="32" customFormat="false" ht="12.75" hidden="false" customHeight="false" outlineLevel="0" collapsed="false">
      <c r="A32" s="23" t="s">
        <v>24</v>
      </c>
      <c r="B32" s="33" t="s">
        <v>52</v>
      </c>
      <c r="C32" s="25"/>
      <c r="D32" s="26"/>
      <c r="E32" s="25"/>
      <c r="F32" s="27"/>
      <c r="G32" s="27"/>
      <c r="H32" s="26"/>
      <c r="I32" s="28" t="n">
        <f aca="false">D32-C32-F32+E32-H32+G32+N32+O32</f>
        <v>0</v>
      </c>
      <c r="J32" s="29" t="n">
        <f aca="false">R32</f>
        <v>0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IF(A32="Mo",$Q$8,IF(A32="Di",$Q$9,IF(A32="Mi",$Q$10,IF(A32="Do",$Q$11,IF(A32="Fr",$Q$12,$Q$13)))))</f>
        <v>0</v>
      </c>
    </row>
    <row r="33" customFormat="false" ht="12.75" hidden="false" customHeight="false" outlineLevel="0" collapsed="false">
      <c r="A33" s="23" t="s">
        <v>17</v>
      </c>
      <c r="B33" s="33" t="s">
        <v>53</v>
      </c>
      <c r="C33" s="25" t="n">
        <v>0.354166666666667</v>
      </c>
      <c r="D33" s="26" t="n">
        <v>0.510416666666667</v>
      </c>
      <c r="E33" s="25"/>
      <c r="F33" s="27"/>
      <c r="G33" s="27"/>
      <c r="H33" s="26"/>
      <c r="I33" s="28" t="n">
        <f aca="false">D33-C33-F33+E33-H33+G33+N33+O33</f>
        <v>0.15625</v>
      </c>
      <c r="J33" s="29" t="n">
        <f aca="false">R33</f>
        <v>0.166666666666667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IF(A33="Mo",$Q$8,IF(A33="Di",$Q$9,IF(A33="Mi",$Q$10,IF(A33="Do",$Q$11,IF(A33="Fr",$Q$12,$Q$13)))))</f>
        <v>0.166666666666667</v>
      </c>
    </row>
    <row r="34" customFormat="false" ht="12.75" hidden="false" customHeight="false" outlineLevel="0" collapsed="false">
      <c r="A34" s="23" t="s">
        <v>20</v>
      </c>
      <c r="B34" s="33" t="s">
        <v>54</v>
      </c>
      <c r="C34" s="25" t="n">
        <v>0.385416666666667</v>
      </c>
      <c r="D34" s="26" t="n">
        <v>0.666666666666667</v>
      </c>
      <c r="E34" s="25" t="n">
        <v>0.510416666666667</v>
      </c>
      <c r="F34" s="27" t="n">
        <v>0.53125</v>
      </c>
      <c r="G34" s="27"/>
      <c r="H34" s="26"/>
      <c r="I34" s="28" t="n">
        <f aca="false">D34-C34-F34+E34-H34+G34+N34+O34</f>
        <v>0.260416666666667</v>
      </c>
      <c r="J34" s="29" t="n">
        <f aca="false">R34</f>
        <v>0.166666666666667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IF(A34="Mo",$Q$8,IF(A34="Di",$Q$9,IF(A34="Mi",$Q$10,IF(A34="Do",$Q$11,IF(A34="Fr",$Q$12,$Q$13)))))</f>
        <v>0.166666666666667</v>
      </c>
    </row>
    <row r="35" customFormat="false" ht="12.75" hidden="false" customHeight="false" outlineLevel="0" collapsed="false">
      <c r="A35" s="23" t="s">
        <v>23</v>
      </c>
      <c r="B35" s="33" t="s">
        <v>55</v>
      </c>
      <c r="C35" s="25" t="n">
        <v>0.385416666666667</v>
      </c>
      <c r="D35" s="26" t="n">
        <v>0.510416666666667</v>
      </c>
      <c r="E35" s="25"/>
      <c r="F35" s="27"/>
      <c r="G35" s="27"/>
      <c r="H35" s="26"/>
      <c r="I35" s="28" t="n">
        <f aca="false">D35-C35-F35+E35-H35+G35+N35+O35</f>
        <v>0.125</v>
      </c>
      <c r="J35" s="29" t="n">
        <f aca="false">R35</f>
        <v>0.166666666666667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IF(A35="Mo",$Q$8,IF(A35="Di",$Q$9,IF(A35="Mi",$Q$10,IF(A35="Do",$Q$11,IF(A35="Fr",$Q$12,$Q$13)))))</f>
        <v>0.166666666666667</v>
      </c>
    </row>
    <row r="36" customFormat="false" ht="12.75" hidden="false" customHeight="false" outlineLevel="0" collapsed="false">
      <c r="A36" s="23" t="s">
        <v>15</v>
      </c>
      <c r="B36" s="33" t="s">
        <v>56</v>
      </c>
      <c r="C36" s="25" t="n">
        <v>0.375</v>
      </c>
      <c r="D36" s="26" t="n">
        <v>0.5</v>
      </c>
      <c r="E36" s="25"/>
      <c r="F36" s="27"/>
      <c r="G36" s="27"/>
      <c r="H36" s="26"/>
      <c r="I36" s="28" t="n">
        <f aca="false">D36-C36-F36+E36-H36+G36+N36+O36</f>
        <v>0.125</v>
      </c>
      <c r="J36" s="29" t="n">
        <f aca="false">R36</f>
        <v>0.166666666666667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IF(A36="Mo",$Q$8,IF(A36="Di",$Q$9,IF(A36="Mi",$Q$10,IF(A36="Do",$Q$11,IF(A36="Fr",$Q$12,$Q$13)))))</f>
        <v>0.166666666666667</v>
      </c>
    </row>
    <row r="37" customFormat="false" ht="12.75" hidden="false" customHeight="false" outlineLevel="0" collapsed="false">
      <c r="A37" s="23" t="s">
        <v>18</v>
      </c>
      <c r="B37" s="33" t="s">
        <v>57</v>
      </c>
      <c r="C37" s="25"/>
      <c r="D37" s="26"/>
      <c r="E37" s="25"/>
      <c r="F37" s="27"/>
      <c r="G37" s="27"/>
      <c r="H37" s="26"/>
      <c r="I37" s="28" t="n">
        <f aca="false">D37-C37-F37+E37-H37+G37+N37+O37</f>
        <v>0</v>
      </c>
      <c r="J37" s="29" t="n">
        <f aca="false">R37</f>
        <v>0</v>
      </c>
      <c r="K37" s="27"/>
      <c r="L37" s="31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IF(A37="Mo",$Q$8,IF(A37="Di",$Q$9,IF(A37="Mi",$Q$10,IF(A37="Do",$Q$11,IF(A37="Fr",$Q$12,$Q$13)))))</f>
        <v>0</v>
      </c>
    </row>
    <row r="38" customFormat="false" ht="12.75" hidden="false" customHeight="false" outlineLevel="0" collapsed="false">
      <c r="A38" s="39" t="s">
        <v>33</v>
      </c>
      <c r="B38" s="40" t="s">
        <v>58</v>
      </c>
      <c r="C38" s="41"/>
      <c r="D38" s="42"/>
      <c r="E38" s="41"/>
      <c r="F38" s="43"/>
      <c r="G38" s="43"/>
      <c r="H38" s="42"/>
      <c r="I38" s="44" t="n">
        <f aca="false">D38-C38-F38+E38-H38+G38+N38+O38</f>
        <v>0</v>
      </c>
      <c r="J38" s="45" t="n">
        <f aca="false">R38</f>
        <v>0</v>
      </c>
      <c r="K38" s="43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IF(A38="Mo",$Q$8,IF(A38="Di",$Q$9,IF(A38="Mi",$Q$10,IF(A38="Do",$Q$11,IF(A38="Fr",$Q$12,$Q$13)))))</f>
        <v>0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  <c r="K39" s="15"/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2.66666666666667</v>
      </c>
      <c r="J40" s="47" t="n">
        <f aca="false">SUM(J8:J38)</f>
        <v>2.66666666666667</v>
      </c>
      <c r="K40" s="47"/>
      <c r="M40" s="1" t="n">
        <f aca="false">SUM(M8:M38)</f>
        <v>1.16666666666667</v>
      </c>
      <c r="P40" s="47"/>
    </row>
    <row r="41" customFormat="false" ht="13.5" hidden="false" customHeight="false" outlineLevel="0" collapsed="false">
      <c r="I41" s="4"/>
      <c r="J41" s="4"/>
      <c r="K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52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2.66666666666667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">
        <v>62</v>
      </c>
      <c r="K44" s="4"/>
      <c r="L44" s="57" t="n">
        <v>4</v>
      </c>
    </row>
    <row r="45" customFormat="false" ht="12.75" hidden="false" customHeight="false" outlineLevel="0" collapsed="false">
      <c r="B45" s="53"/>
      <c r="C45" s="0" t="s">
        <v>63</v>
      </c>
      <c r="G45" s="58" t="n">
        <v>0.260416666666667</v>
      </c>
      <c r="H45" s="54"/>
      <c r="J45" s="56" t="s">
        <v>64</v>
      </c>
      <c r="K45" s="4"/>
      <c r="L45" s="57" t="n"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60" t="n">
        <v>0</v>
      </c>
      <c r="H46" s="54"/>
      <c r="I46" s="4"/>
      <c r="J46" s="56" t="s">
        <v>67</v>
      </c>
      <c r="K46" s="4"/>
      <c r="L46" s="57"/>
    </row>
    <row r="47" customFormat="false" ht="12.75" hidden="false" customHeight="false" outlineLevel="0" collapsed="false">
      <c r="B47" s="53"/>
      <c r="H47" s="54"/>
      <c r="I47" s="4"/>
      <c r="J47" s="61" t="s">
        <v>68</v>
      </c>
      <c r="K47" s="4"/>
      <c r="L47" s="62" t="n">
        <f aca="false">L46+L45+L44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2.66666666666667</v>
      </c>
      <c r="H48" s="54"/>
      <c r="J48" s="63" t="s">
        <v>70</v>
      </c>
      <c r="L48" s="62" t="n">
        <f aca="false">M48+0.5*N48</f>
        <v>3</v>
      </c>
      <c r="M48" s="62" t="n">
        <f aca="false">COUNTIF($K$8:$K$38,"u")</f>
        <v>3</v>
      </c>
      <c r="N48" s="64" t="n">
        <f aca="false">COUNTIF(K8:K38,"0,5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7"/>
    </row>
    <row r="50" customFormat="false" ht="12.75" hidden="false" customHeight="false" outlineLevel="0" collapsed="false">
      <c r="B50" s="53"/>
      <c r="C50" s="0" t="s">
        <v>71</v>
      </c>
      <c r="G50" s="68" t="n">
        <f aca="false">IF(G43+G45-G46-G48&gt;=0,G43+G45-G46-G48,"00:00")</f>
        <v>0.260416666666662</v>
      </c>
      <c r="H50" s="54"/>
      <c r="J50" s="63" t="s">
        <v>72</v>
      </c>
      <c r="L50" s="62" t="n">
        <f aca="false">L47-L48</f>
        <v>25</v>
      </c>
    </row>
    <row r="51" customFormat="false" ht="13.5" hidden="false" customHeight="false" outlineLevel="0" collapsed="false">
      <c r="B51" s="53"/>
      <c r="C51" s="0" t="s">
        <v>73</v>
      </c>
      <c r="F51" s="59" t="s">
        <v>66</v>
      </c>
      <c r="G51" s="69" t="str">
        <f aca="false">IF(G43+G45-G46-G48&lt;0,-1*(G43+G45-G46-G48),"00:00")</f>
        <v>00:00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C30" activeCellId="0" sqref="C30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  <col collapsed="false" customWidth="false" hidden="true" outlineLevel="0" max="19" min="19" style="0" width="11.52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75</v>
      </c>
    </row>
    <row r="5" customFormat="false" ht="12.75" hidden="false" customHeight="false" outlineLevel="0" collapsed="false">
      <c r="A5" s="10"/>
      <c r="K5" s="10"/>
      <c r="L5" s="10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2" t="s">
        <v>9</v>
      </c>
      <c r="L6" s="12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tr">
        <f aca="false">Januar!K7</f>
        <v>Anm. U/K</v>
      </c>
      <c r="L7" s="14"/>
      <c r="M7" s="15"/>
      <c r="N7" s="15"/>
    </row>
    <row r="8" customFormat="false" ht="12.75" hidden="false" customHeight="false" outlineLevel="0" collapsed="false">
      <c r="A8" s="23" t="s">
        <v>24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f aca="false">R8</f>
        <v>0</v>
      </c>
      <c r="K8" s="30"/>
      <c r="L8" s="31"/>
      <c r="M8" s="1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P8" s="29"/>
      <c r="Q8" s="4"/>
      <c r="R8" s="4" t="n">
        <f aca="false">IF(A8="Mo",Januar!$Q$8,IF(A8="Di",Januar!$Q$9,IF(A8="Mi",Januar!$Q$10,IF(A8="Do",Januar!$Q$11,IF(A8="Fr",Januar!$Q$12,Januar!$Q$13)))))</f>
        <v>0</v>
      </c>
    </row>
    <row r="9" customFormat="false" ht="12.75" hidden="false" customHeight="false" outlineLevel="0" collapsed="false">
      <c r="A9" s="23" t="s">
        <v>17</v>
      </c>
      <c r="B9" s="74" t="s">
        <v>19</v>
      </c>
      <c r="C9" s="25" t="n">
        <v>0.354166666666667</v>
      </c>
      <c r="D9" s="26" t="n">
        <v>0.510416666666667</v>
      </c>
      <c r="E9" s="25"/>
      <c r="F9" s="27"/>
      <c r="G9" s="27"/>
      <c r="H9" s="26"/>
      <c r="I9" s="28" t="n">
        <f aca="false">D9-C9-F9+E9-H9+G9+N9+O9</f>
        <v>0.15625</v>
      </c>
      <c r="J9" s="29" t="n">
        <f aca="false">R9</f>
        <v>0.166666666666667</v>
      </c>
      <c r="K9" s="30"/>
      <c r="L9" s="31"/>
      <c r="M9" s="1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P9" s="29"/>
      <c r="Q9" s="4"/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23" t="s">
        <v>20</v>
      </c>
      <c r="B10" s="74" t="s">
        <v>22</v>
      </c>
      <c r="C10" s="25" t="n">
        <v>0.385416666666667</v>
      </c>
      <c r="D10" s="26" t="n">
        <v>0.666666666666667</v>
      </c>
      <c r="E10" s="25" t="n">
        <v>0.5</v>
      </c>
      <c r="F10" s="27" t="n">
        <v>0.53125</v>
      </c>
      <c r="G10" s="27"/>
      <c r="H10" s="26"/>
      <c r="I10" s="28" t="n">
        <f aca="false">D10-C10-F10+E10-H10+G10+N10+O10</f>
        <v>0.25</v>
      </c>
      <c r="J10" s="29" t="n">
        <f aca="false">R10</f>
        <v>0.166666666666667</v>
      </c>
      <c r="K10" s="30"/>
      <c r="L10" s="31"/>
      <c r="M10" s="1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P10" s="29"/>
      <c r="Q10" s="4"/>
      <c r="R10" s="4" t="n">
        <f aca="false">IF(A10="Mo",Januar!$Q$8,IF(A10="Di",Januar!$Q$9,IF(A10="Mi",Januar!$Q$10,IF(A10="Do",Januar!$Q$11,IF(A10="Fr",Januar!$Q$12,Januar!$Q$13)))))</f>
        <v>0.166666666666667</v>
      </c>
    </row>
    <row r="11" customFormat="false" ht="12.75" hidden="false" customHeight="false" outlineLevel="0" collapsed="false">
      <c r="A11" s="23" t="s">
        <v>23</v>
      </c>
      <c r="B11" s="74" t="s">
        <v>25</v>
      </c>
      <c r="C11" s="25" t="n">
        <v>0.385416666666667</v>
      </c>
      <c r="D11" s="26" t="n">
        <v>0.510416666666667</v>
      </c>
      <c r="E11" s="25"/>
      <c r="F11" s="27"/>
      <c r="G11" s="27"/>
      <c r="H11" s="26"/>
      <c r="I11" s="28" t="n">
        <f aca="false">D11-C11-F11+E11-H11+G11+N11+O11</f>
        <v>0.125</v>
      </c>
      <c r="J11" s="29" t="n">
        <f aca="false">R11</f>
        <v>0.166666666666667</v>
      </c>
      <c r="K11" s="30"/>
      <c r="L11" s="31"/>
      <c r="M11" s="1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P11" s="29"/>
      <c r="Q11" s="4"/>
      <c r="R11" s="4" t="n">
        <f aca="false">IF(A11="Mo",Januar!$Q$8,IF(A11="Di",Januar!$Q$9,IF(A11="Mi",Januar!$Q$10,IF(A11="Do",Januar!$Q$11,IF(A11="Fr",Januar!$Q$12,Januar!$Q$13)))))</f>
        <v>0.166666666666667</v>
      </c>
    </row>
    <row r="12" customFormat="false" ht="12.75" hidden="false" customHeight="false" outlineLevel="0" collapsed="false">
      <c r="A12" s="23" t="s">
        <v>15</v>
      </c>
      <c r="B12" s="74" t="s">
        <v>26</v>
      </c>
      <c r="C12" s="25" t="n">
        <v>0.375</v>
      </c>
      <c r="D12" s="26" t="n">
        <v>0.5</v>
      </c>
      <c r="E12" s="25"/>
      <c r="F12" s="27"/>
      <c r="G12" s="27"/>
      <c r="H12" s="26"/>
      <c r="I12" s="28" t="n">
        <f aca="false">D12-C12-F12+E12-H12+G12+N12+O12</f>
        <v>0.125</v>
      </c>
      <c r="J12" s="29" t="n">
        <f aca="false">R12</f>
        <v>0.166666666666667</v>
      </c>
      <c r="K12" s="30"/>
      <c r="L12" s="31"/>
      <c r="M12" s="1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P12" s="29"/>
      <c r="Q12" s="4"/>
      <c r="R12" s="4" t="n">
        <f aca="false">IF(A12="Mo",Januar!$Q$8,IF(A12="Di",Januar!$Q$9,IF(A12="Mi",Januar!$Q$10,IF(A12="Do",Januar!$Q$11,IF(A12="Fr",Januar!$Q$12,Januar!$Q$13)))))</f>
        <v>0.166666666666667</v>
      </c>
    </row>
    <row r="13" customFormat="false" ht="12.75" hidden="false" customHeight="false" outlineLevel="0" collapsed="false">
      <c r="A13" s="23" t="s">
        <v>18</v>
      </c>
      <c r="B13" s="74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</v>
      </c>
      <c r="J13" s="29" t="n">
        <f aca="false">R13</f>
        <v>0</v>
      </c>
      <c r="K13" s="30"/>
      <c r="L13" s="31"/>
      <c r="M13" s="1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P13" s="4"/>
      <c r="R13" s="4" t="n">
        <f aca="false">IF(A13="Mo",Januar!$Q$8,IF(A13="Di",Januar!$Q$9,IF(A13="Mi",Januar!$Q$10,IF(A13="Do",Januar!$Q$11,IF(A13="Fr",Januar!$Q$12,Januar!$Q$13)))))</f>
        <v>0</v>
      </c>
    </row>
    <row r="14" customFormat="false" ht="12.75" hidden="false" customHeight="false" outlineLevel="0" collapsed="false">
      <c r="A14" s="23" t="s">
        <v>33</v>
      </c>
      <c r="B14" s="74" t="s">
        <v>30</v>
      </c>
      <c r="C14" s="25"/>
      <c r="D14" s="26"/>
      <c r="E14" s="25"/>
      <c r="F14" s="27"/>
      <c r="G14" s="27"/>
      <c r="H14" s="26"/>
      <c r="I14" s="28" t="n">
        <f aca="false">D14-C14-F14+E14-H14+G14+N14+O14</f>
        <v>0</v>
      </c>
      <c r="J14" s="29" t="n">
        <f aca="false">R14</f>
        <v>0</v>
      </c>
      <c r="K14" s="30"/>
      <c r="L14" s="31"/>
      <c r="M14" s="1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P14" s="4"/>
      <c r="Q14" s="35"/>
      <c r="R14" s="4" t="n">
        <f aca="false">IF(A14="Mo",Januar!$Q$8,IF(A14="Di",Januar!$Q$9,IF(A14="Mi",Januar!$Q$10,IF(A14="Do",Januar!$Q$11,IF(A14="Fr",Januar!$Q$12,Januar!$Q$13)))))</f>
        <v>0</v>
      </c>
    </row>
    <row r="15" customFormat="false" ht="12.75" hidden="false" customHeight="false" outlineLevel="0" collapsed="false">
      <c r="A15" s="23" t="s">
        <v>24</v>
      </c>
      <c r="B15" s="74" t="s">
        <v>31</v>
      </c>
      <c r="C15" s="25"/>
      <c r="D15" s="26"/>
      <c r="E15" s="25"/>
      <c r="F15" s="27"/>
      <c r="G15" s="27"/>
      <c r="H15" s="26"/>
      <c r="I15" s="28" t="n">
        <f aca="false">D15-C15-F15+E15-H15+G15+N15+O15</f>
        <v>0</v>
      </c>
      <c r="J15" s="29" t="n">
        <f aca="false">R15</f>
        <v>0</v>
      </c>
      <c r="K15" s="30"/>
      <c r="L15" s="31"/>
      <c r="M15" s="1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P15" s="75"/>
      <c r="Q15" s="16"/>
      <c r="R15" s="4" t="n">
        <f aca="false">IF(A15="Mo",Januar!$Q$8,IF(A15="Di",Januar!$Q$9,IF(A15="Mi",Januar!$Q$10,IF(A15="Do",Januar!$Q$11,IF(A15="Fr",Januar!$Q$12,Januar!$Q$13)))))</f>
        <v>0</v>
      </c>
    </row>
    <row r="16" customFormat="false" ht="12.75" hidden="false" customHeight="false" outlineLevel="0" collapsed="false">
      <c r="A16" s="23" t="s">
        <v>17</v>
      </c>
      <c r="B16" s="74" t="s">
        <v>32</v>
      </c>
      <c r="C16" s="25" t="n">
        <v>0.354166666666667</v>
      </c>
      <c r="D16" s="26" t="n">
        <v>0.510416666666667</v>
      </c>
      <c r="E16" s="25"/>
      <c r="F16" s="27"/>
      <c r="G16" s="27"/>
      <c r="H16" s="26"/>
      <c r="I16" s="28" t="n">
        <f aca="false">D16-C16-F16+E16-H16+G16+N16+O16</f>
        <v>0.15625</v>
      </c>
      <c r="J16" s="29" t="n">
        <f aca="false">R16</f>
        <v>0.166666666666667</v>
      </c>
      <c r="K16" s="30"/>
      <c r="L16" s="31"/>
      <c r="M16" s="1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P16" s="4"/>
      <c r="Q16" s="35"/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23" t="s">
        <v>20</v>
      </c>
      <c r="B17" s="74" t="s">
        <v>34</v>
      </c>
      <c r="C17" s="25" t="n">
        <v>0</v>
      </c>
      <c r="D17" s="26" t="n">
        <v>0</v>
      </c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0.166666666666667</v>
      </c>
      <c r="K17" s="30" t="s">
        <v>76</v>
      </c>
      <c r="L17" s="31"/>
      <c r="M17" s="1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Q17" s="35"/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23" t="s">
        <v>23</v>
      </c>
      <c r="B18" s="74" t="s">
        <v>35</v>
      </c>
      <c r="C18" s="25" t="n">
        <v>0.385416666666667</v>
      </c>
      <c r="D18" s="26" t="n">
        <v>0.510416666666667</v>
      </c>
      <c r="E18" s="25"/>
      <c r="F18" s="27"/>
      <c r="G18" s="27"/>
      <c r="H18" s="26"/>
      <c r="I18" s="28" t="n">
        <f aca="false">D18-C18-F18+E18-H18+G18+N18+O18</f>
        <v>0.125</v>
      </c>
      <c r="J18" s="29" t="n">
        <f aca="false">R18</f>
        <v>0.166666666666667</v>
      </c>
      <c r="K18" s="30"/>
      <c r="L18" s="31"/>
      <c r="M18" s="1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P18" s="16"/>
      <c r="Q18" s="16"/>
      <c r="R18" s="4" t="n">
        <f aca="false">IF(A18="Mo",Januar!$Q$8,IF(A18="Di",Januar!$Q$9,IF(A18="Mi",Januar!$Q$10,IF(A18="Do",Januar!$Q$11,IF(A18="Fr",Januar!$Q$12,Januar!$Q$13)))))</f>
        <v>0.166666666666667</v>
      </c>
    </row>
    <row r="19" customFormat="false" ht="12.75" hidden="false" customHeight="false" outlineLevel="0" collapsed="false">
      <c r="A19" s="23" t="s">
        <v>15</v>
      </c>
      <c r="B19" s="74" t="s">
        <v>36</v>
      </c>
      <c r="C19" s="25" t="n">
        <v>0.375</v>
      </c>
      <c r="D19" s="26" t="n">
        <v>0.6875</v>
      </c>
      <c r="E19" s="25" t="n">
        <v>0.5</v>
      </c>
      <c r="F19" s="27" t="n">
        <v>0.5625</v>
      </c>
      <c r="G19" s="27"/>
      <c r="H19" s="26"/>
      <c r="I19" s="28" t="n">
        <f aca="false">D19-C19-F19+E19-H19+G19+N19+O19</f>
        <v>0.25</v>
      </c>
      <c r="J19" s="29" t="n">
        <f aca="false">R19</f>
        <v>0.166666666666667</v>
      </c>
      <c r="K19" s="30"/>
      <c r="L19" s="31"/>
      <c r="M19" s="1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Q19" s="35"/>
      <c r="R19" s="4" t="n">
        <f aca="false">IF(A19="Mo",Januar!$Q$8,IF(A19="Di",Januar!$Q$9,IF(A19="Mi",Januar!$Q$10,IF(A19="Do",Januar!$Q$11,IF(A19="Fr",Januar!$Q$12,Januar!$Q$13)))))</f>
        <v>0.166666666666667</v>
      </c>
    </row>
    <row r="20" customFormat="false" ht="12.75" hidden="false" customHeight="false" outlineLevel="0" collapsed="false">
      <c r="A20" s="23" t="s">
        <v>18</v>
      </c>
      <c r="B20" s="74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</v>
      </c>
      <c r="K20" s="30"/>
      <c r="L20" s="31"/>
      <c r="M20" s="1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</v>
      </c>
    </row>
    <row r="21" customFormat="false" ht="12.75" hidden="false" customHeight="false" outlineLevel="0" collapsed="false">
      <c r="A21" s="23" t="s">
        <v>33</v>
      </c>
      <c r="B21" s="74" t="s">
        <v>40</v>
      </c>
      <c r="C21" s="25"/>
      <c r="D21" s="26"/>
      <c r="E21" s="25"/>
      <c r="F21" s="27"/>
      <c r="G21" s="27"/>
      <c r="H21" s="26"/>
      <c r="I21" s="28" t="n">
        <f aca="false">D21-C21-F21+E21-H21+G21+N21+O21</f>
        <v>0</v>
      </c>
      <c r="J21" s="29" t="n">
        <f aca="false">R21</f>
        <v>0</v>
      </c>
      <c r="K21" s="30"/>
      <c r="L21" s="31"/>
      <c r="M21" s="1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</v>
      </c>
    </row>
    <row r="22" customFormat="false" ht="12.75" hidden="false" customHeight="false" outlineLevel="0" collapsed="false">
      <c r="A22" s="23" t="s">
        <v>24</v>
      </c>
      <c r="B22" s="74" t="s">
        <v>41</v>
      </c>
      <c r="C22" s="25"/>
      <c r="D22" s="26"/>
      <c r="E22" s="25"/>
      <c r="F22" s="27"/>
      <c r="G22" s="27"/>
      <c r="H22" s="26"/>
      <c r="I22" s="28" t="n">
        <f aca="false">D22-C22-F22+E22-H22+G22+N22+O22</f>
        <v>0</v>
      </c>
      <c r="J22" s="29" t="n">
        <f aca="false">R22</f>
        <v>0</v>
      </c>
      <c r="K22" s="30"/>
      <c r="L22" s="31"/>
      <c r="M22" s="1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</v>
      </c>
    </row>
    <row r="23" customFormat="false" ht="12.75" hidden="false" customHeight="false" outlineLevel="0" collapsed="false">
      <c r="A23" s="23" t="s">
        <v>17</v>
      </c>
      <c r="B23" s="74" t="s">
        <v>42</v>
      </c>
      <c r="C23" s="25"/>
      <c r="D23" s="26"/>
      <c r="E23" s="25"/>
      <c r="F23" s="27"/>
      <c r="G23" s="27"/>
      <c r="H23" s="26"/>
      <c r="I23" s="28" t="n">
        <f aca="false">D23-C23-F23+E23-H23+G23+N23+O23</f>
        <v>0</v>
      </c>
      <c r="J23" s="29" t="n">
        <v>0</v>
      </c>
      <c r="K23" s="30"/>
      <c r="L23" s="31"/>
      <c r="M23" s="1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23" t="s">
        <v>20</v>
      </c>
      <c r="B24" s="74" t="s">
        <v>43</v>
      </c>
      <c r="C24" s="25" t="n">
        <v>0.541666666666667</v>
      </c>
      <c r="D24" s="26" t="n">
        <v>0.666666666666667</v>
      </c>
      <c r="E24" s="25"/>
      <c r="F24" s="27"/>
      <c r="G24" s="27"/>
      <c r="H24" s="26"/>
      <c r="I24" s="28" t="n">
        <f aca="false">D24-C24-F24+E24-H24+G24+N24+O24</f>
        <v>0.125</v>
      </c>
      <c r="J24" s="29" t="n">
        <f aca="false">R24</f>
        <v>0.166666666666667</v>
      </c>
      <c r="K24" s="30" t="s">
        <v>77</v>
      </c>
      <c r="L24" s="31"/>
      <c r="M24" s="1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23" t="s">
        <v>23</v>
      </c>
      <c r="B25" s="74" t="s">
        <v>44</v>
      </c>
      <c r="C25" s="25" t="n">
        <v>0.385416666666667</v>
      </c>
      <c r="D25" s="26" t="n">
        <v>0.666666666666667</v>
      </c>
      <c r="E25" s="25" t="n">
        <v>0.510416666666667</v>
      </c>
      <c r="F25" s="27" t="n">
        <v>0.53125</v>
      </c>
      <c r="G25" s="27"/>
      <c r="H25" s="26"/>
      <c r="I25" s="28" t="n">
        <f aca="false">D25-C25-F25+E25-H25+G25+N25+O25</f>
        <v>0.260416666666667</v>
      </c>
      <c r="J25" s="29" t="n">
        <f aca="false">R25</f>
        <v>0.166666666666667</v>
      </c>
      <c r="K25" s="30" t="s">
        <v>78</v>
      </c>
      <c r="L25" s="31"/>
      <c r="M25" s="1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0.166666666666667</v>
      </c>
    </row>
    <row r="26" customFormat="false" ht="12.75" hidden="false" customHeight="false" outlineLevel="0" collapsed="false">
      <c r="A26" s="23" t="s">
        <v>15</v>
      </c>
      <c r="B26" s="74" t="s">
        <v>45</v>
      </c>
      <c r="C26" s="25" t="n">
        <v>0.375</v>
      </c>
      <c r="D26" s="26" t="n">
        <v>0.5</v>
      </c>
      <c r="E26" s="25"/>
      <c r="F26" s="27"/>
      <c r="G26" s="27"/>
      <c r="H26" s="26"/>
      <c r="I26" s="28" t="n">
        <f aca="false">D26-C26-F26+E26-H26+G26+N26+O26</f>
        <v>0.125</v>
      </c>
      <c r="J26" s="29" t="n">
        <f aca="false">R26</f>
        <v>0.166666666666667</v>
      </c>
      <c r="K26" s="30"/>
      <c r="L26" s="31"/>
      <c r="M26" s="1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0.166666666666667</v>
      </c>
    </row>
    <row r="27" customFormat="false" ht="12.75" hidden="false" customHeight="false" outlineLevel="0" collapsed="false">
      <c r="A27" s="23" t="s">
        <v>18</v>
      </c>
      <c r="B27" s="74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</v>
      </c>
      <c r="K27" s="30"/>
      <c r="L27" s="31"/>
      <c r="M27" s="1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</v>
      </c>
    </row>
    <row r="28" customFormat="false" ht="12.75" hidden="false" customHeight="false" outlineLevel="0" collapsed="false">
      <c r="A28" s="23" t="s">
        <v>33</v>
      </c>
      <c r="B28" s="74" t="s">
        <v>48</v>
      </c>
      <c r="C28" s="25"/>
      <c r="D28" s="26"/>
      <c r="E28" s="25"/>
      <c r="F28" s="27"/>
      <c r="G28" s="27"/>
      <c r="H28" s="26"/>
      <c r="I28" s="28" t="n">
        <f aca="false">D28-C28-F28+E28-H28+G28+N28+O28</f>
        <v>0</v>
      </c>
      <c r="J28" s="29" t="n">
        <f aca="false">R28</f>
        <v>0</v>
      </c>
      <c r="K28" s="30"/>
      <c r="L28" s="31"/>
      <c r="M28" s="1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</v>
      </c>
    </row>
    <row r="29" customFormat="false" ht="12.75" hidden="false" customHeight="false" outlineLevel="0" collapsed="false">
      <c r="A29" s="23" t="s">
        <v>24</v>
      </c>
      <c r="B29" s="74" t="s">
        <v>49</v>
      </c>
      <c r="C29" s="25"/>
      <c r="D29" s="26"/>
      <c r="E29" s="25"/>
      <c r="F29" s="27"/>
      <c r="G29" s="27"/>
      <c r="H29" s="26"/>
      <c r="I29" s="28" t="n">
        <f aca="false">D29-C29-F29+E29-H29+G29+N29+O29</f>
        <v>0</v>
      </c>
      <c r="J29" s="29" t="n">
        <f aca="false">R29</f>
        <v>0</v>
      </c>
      <c r="K29" s="30"/>
      <c r="L29" s="31"/>
      <c r="M29" s="1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</v>
      </c>
    </row>
    <row r="30" customFormat="false" ht="12.75" hidden="false" customHeight="false" outlineLevel="0" collapsed="false">
      <c r="A30" s="23" t="s">
        <v>17</v>
      </c>
      <c r="B30" s="74" t="s">
        <v>50</v>
      </c>
      <c r="C30" s="25" t="n">
        <v>0.354166666666667</v>
      </c>
      <c r="D30" s="26" t="n">
        <v>0.510416666666667</v>
      </c>
      <c r="E30" s="25"/>
      <c r="F30" s="27"/>
      <c r="G30" s="27"/>
      <c r="H30" s="26"/>
      <c r="I30" s="28" t="n">
        <f aca="false">D30-C30-F30+E30-H30+G30+N30+O30</f>
        <v>0.15625</v>
      </c>
      <c r="J30" s="29" t="n">
        <f aca="false">R30</f>
        <v>0.166666666666667</v>
      </c>
      <c r="K30" s="30"/>
      <c r="L30" s="31"/>
      <c r="M30" s="1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23" t="s">
        <v>20</v>
      </c>
      <c r="B31" s="74" t="s">
        <v>51</v>
      </c>
      <c r="C31" s="25" t="n">
        <v>0.385416666666667</v>
      </c>
      <c r="D31" s="26" t="n">
        <v>0.666666666666667</v>
      </c>
      <c r="E31" s="25" t="n">
        <v>0.510416666666667</v>
      </c>
      <c r="F31" s="27" t="n">
        <v>0.53125</v>
      </c>
      <c r="G31" s="27"/>
      <c r="H31" s="26"/>
      <c r="I31" s="28" t="n">
        <f aca="false">D31-C31-F31+E31-H31+G31+N31+O31</f>
        <v>0.260416666666667</v>
      </c>
      <c r="J31" s="29" t="n">
        <f aca="false">R31</f>
        <v>0.166666666666667</v>
      </c>
      <c r="K31" s="30"/>
      <c r="L31" s="31"/>
      <c r="M31" s="1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23" t="s">
        <v>23</v>
      </c>
      <c r="B32" s="74" t="s">
        <v>52</v>
      </c>
      <c r="C32" s="25" t="n">
        <v>0.385416666666667</v>
      </c>
      <c r="D32" s="26" t="n">
        <v>0.510416666666667</v>
      </c>
      <c r="E32" s="25"/>
      <c r="F32" s="27"/>
      <c r="G32" s="27"/>
      <c r="H32" s="27"/>
      <c r="I32" s="28" t="n">
        <f aca="false">D32-C32-F32+E32-H32+G32+N32+O32</f>
        <v>0.125</v>
      </c>
      <c r="J32" s="29" t="n">
        <f aca="false">R32</f>
        <v>0.166666666666667</v>
      </c>
      <c r="K32" s="30"/>
      <c r="L32" s="31"/>
      <c r="M32" s="1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0.166666666666667</v>
      </c>
    </row>
    <row r="33" customFormat="false" ht="12.75" hidden="false" customHeight="false" outlineLevel="0" collapsed="false">
      <c r="A33" s="23" t="s">
        <v>15</v>
      </c>
      <c r="B33" s="74" t="s">
        <v>53</v>
      </c>
      <c r="C33" s="25" t="n">
        <v>0.375</v>
      </c>
      <c r="D33" s="26" t="n">
        <v>0.5</v>
      </c>
      <c r="E33" s="25"/>
      <c r="F33" s="27"/>
      <c r="G33" s="27"/>
      <c r="H33" s="27"/>
      <c r="I33" s="28" t="n">
        <f aca="false">D33-C33-F33+E33-H33+G33+N33+O33</f>
        <v>0.125</v>
      </c>
      <c r="J33" s="29" t="n">
        <f aca="false">R33</f>
        <v>0.166666666666667</v>
      </c>
      <c r="K33" s="30"/>
      <c r="L33" s="31"/>
      <c r="M33" s="1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0.166666666666667</v>
      </c>
    </row>
    <row r="34" customFormat="false" ht="12.75" hidden="false" customHeight="false" outlineLevel="0" collapsed="false">
      <c r="A34" s="23" t="s">
        <v>18</v>
      </c>
      <c r="B34" s="74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</v>
      </c>
      <c r="J34" s="29" t="n">
        <f aca="false">R34</f>
        <v>0</v>
      </c>
      <c r="K34" s="30"/>
      <c r="L34" s="31"/>
      <c r="M34" s="1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</v>
      </c>
    </row>
    <row r="35" customFormat="false" ht="12.75" hidden="false" customHeight="false" outlineLevel="0" collapsed="false">
      <c r="A35" s="39" t="s">
        <v>33</v>
      </c>
      <c r="B35" s="76" t="s">
        <v>55</v>
      </c>
      <c r="C35" s="43"/>
      <c r="D35" s="42"/>
      <c r="E35" s="41"/>
      <c r="F35" s="43"/>
      <c r="G35" s="43"/>
      <c r="H35" s="43"/>
      <c r="I35" s="44" t="n">
        <f aca="false">D35-C35-F35+E35-H35+G35+N35+O35</f>
        <v>0</v>
      </c>
      <c r="J35" s="45" t="n">
        <f aca="false">R35</f>
        <v>0</v>
      </c>
      <c r="K35" s="77"/>
      <c r="L35" s="46"/>
      <c r="M35" s="1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</v>
      </c>
    </row>
    <row r="36" customFormat="false" ht="12.75" hidden="false" customHeight="false" outlineLevel="0" collapsed="false">
      <c r="I36" s="21" t="s">
        <v>12</v>
      </c>
      <c r="J36" s="15" t="s">
        <v>13</v>
      </c>
      <c r="K36" s="4"/>
      <c r="M36" s="78"/>
      <c r="N36" s="78"/>
      <c r="O36" s="10"/>
      <c r="R36" s="4"/>
    </row>
    <row r="37" customFormat="false" ht="12.75" hidden="false" customHeight="false" outlineLevel="0" collapsed="false">
      <c r="E37" s="16" t="s">
        <v>59</v>
      </c>
      <c r="F37" s="16"/>
      <c r="G37" s="16"/>
      <c r="H37" s="16"/>
      <c r="I37" s="47" t="n">
        <f aca="false">SUM(I8:I35)</f>
        <v>2.36458333333333</v>
      </c>
      <c r="J37" s="47" t="n">
        <f aca="false">SUM(J8:J35)</f>
        <v>2.5</v>
      </c>
      <c r="K37" s="4"/>
      <c r="M37" s="1"/>
      <c r="N37" s="1"/>
      <c r="R37" s="4"/>
    </row>
    <row r="38" customFormat="false" ht="12.75" hidden="false" customHeight="false" outlineLevel="0" collapsed="false">
      <c r="E38" s="16"/>
      <c r="F38" s="16"/>
      <c r="G38" s="16"/>
      <c r="H38" s="16"/>
      <c r="I38" s="47"/>
      <c r="J38" s="47"/>
      <c r="K38" s="4"/>
      <c r="M38" s="1"/>
      <c r="N38" s="1"/>
      <c r="R38" s="4"/>
    </row>
    <row r="39" customFormat="false" ht="12.75" hidden="false" customHeight="false" outlineLevel="0" collapsed="false">
      <c r="E39" s="16"/>
      <c r="F39" s="16"/>
      <c r="G39" s="16"/>
      <c r="H39" s="16"/>
      <c r="I39" s="47"/>
      <c r="J39" s="47"/>
      <c r="K39" s="4"/>
      <c r="M39" s="1"/>
      <c r="N39" s="1"/>
      <c r="R39" s="4"/>
    </row>
    <row r="40" customFormat="false" ht="13.5" hidden="false" customHeight="false" outlineLevel="0" collapsed="false">
      <c r="I40" s="4"/>
      <c r="J40" s="4"/>
      <c r="K40" s="4"/>
      <c r="M40" s="1"/>
      <c r="N40" s="1"/>
    </row>
    <row r="41" customFormat="false" ht="12.75" hidden="false" customHeight="false" outlineLevel="0" collapsed="false">
      <c r="B41" s="48"/>
      <c r="C41" s="49"/>
      <c r="D41" s="49"/>
      <c r="E41" s="49"/>
      <c r="F41" s="49"/>
      <c r="G41" s="49"/>
      <c r="H41" s="50"/>
      <c r="I41" s="4"/>
      <c r="J41" s="51"/>
      <c r="K41" s="49"/>
      <c r="L41" s="50"/>
      <c r="M41" s="1"/>
      <c r="N41" s="1"/>
    </row>
    <row r="42" customFormat="false" ht="12.75" hidden="false" customHeight="false" outlineLevel="0" collapsed="false">
      <c r="B42" s="53"/>
      <c r="C42" s="0" t="s">
        <v>60</v>
      </c>
      <c r="G42" s="34" t="n">
        <f aca="false">I37</f>
        <v>2.36458333333333</v>
      </c>
      <c r="H42" s="54"/>
      <c r="I42" s="4"/>
      <c r="J42" s="55" t="s">
        <v>61</v>
      </c>
      <c r="K42" s="4"/>
      <c r="L42" s="54"/>
    </row>
    <row r="43" customFormat="false" ht="12.75" hidden="false" customHeight="false" outlineLevel="0" collapsed="false">
      <c r="B43" s="53"/>
      <c r="H43" s="54"/>
      <c r="I43" s="4"/>
      <c r="J43" s="56" t="str">
        <f aca="false">Januar!J44</f>
        <v>Resturlaub 2025</v>
      </c>
      <c r="K43" s="4"/>
      <c r="L43" s="62" t="n">
        <f aca="false">Januar!L44</f>
        <v>4</v>
      </c>
    </row>
    <row r="44" customFormat="false" ht="12.75" hidden="false" customHeight="false" outlineLevel="0" collapsed="false">
      <c r="B44" s="53"/>
      <c r="C44" s="0" t="s">
        <v>63</v>
      </c>
      <c r="G44" s="68" t="n">
        <f aca="false">Januar!G50</f>
        <v>0.260416666666662</v>
      </c>
      <c r="H44" s="54"/>
      <c r="J44" s="56" t="str">
        <f aca="false">Januar!J45</f>
        <v>Jahresurlaub 2026</v>
      </c>
      <c r="K44" s="4"/>
      <c r="L44" s="62" t="n">
        <f aca="false">Januar!L45</f>
        <v>24</v>
      </c>
    </row>
    <row r="45" customFormat="false" ht="12.75" hidden="false" customHeight="false" outlineLevel="0" collapsed="false">
      <c r="B45" s="53"/>
      <c r="C45" s="0" t="s">
        <v>65</v>
      </c>
      <c r="F45" s="59" t="s">
        <v>66</v>
      </c>
      <c r="G45" s="79" t="str">
        <f aca="false">Januar!G51</f>
        <v>00:00</v>
      </c>
      <c r="H45" s="54"/>
      <c r="I45" s="4"/>
      <c r="J45" s="56" t="str">
        <f aca="false">Januar!J46</f>
        <v>Zusatzurlaub SGB IX</v>
      </c>
      <c r="K45" s="4"/>
      <c r="L45" s="62" t="n">
        <f aca="false">Januar!L46</f>
        <v>0</v>
      </c>
    </row>
    <row r="46" customFormat="false" ht="12.75" hidden="false" customHeight="false" outlineLevel="0" collapsed="false">
      <c r="B46" s="53"/>
      <c r="H46" s="54"/>
      <c r="I46" s="4"/>
      <c r="J46" s="61" t="str">
        <f aca="false">Januar!J47</f>
        <v>Gesamturlaub 2026</v>
      </c>
      <c r="K46" s="4"/>
      <c r="L46" s="62" t="n">
        <f aca="false">Januar!L47</f>
        <v>28</v>
      </c>
    </row>
    <row r="47" customFormat="false" ht="12.75" hidden="false" customHeight="false" outlineLevel="0" collapsed="false">
      <c r="B47" s="53"/>
      <c r="C47" s="0" t="s">
        <v>69</v>
      </c>
      <c r="G47" s="34" t="n">
        <f aca="false">J37</f>
        <v>2.5</v>
      </c>
      <c r="H47" s="54"/>
      <c r="J47" s="63" t="str">
        <f aca="false">Januar!J48</f>
        <v>genommener Urlaub</v>
      </c>
      <c r="L47" s="62" t="n">
        <f aca="false">M48+0.5*N48+Januar!L48</f>
        <v>3</v>
      </c>
    </row>
    <row r="48" customFormat="false" ht="12.75" hidden="false" customHeight="false" outlineLevel="0" collapsed="false">
      <c r="B48" s="65"/>
      <c r="C48" s="10"/>
      <c r="D48" s="10"/>
      <c r="E48" s="10"/>
      <c r="F48" s="10"/>
      <c r="G48" s="10"/>
      <c r="H48" s="66"/>
      <c r="J48" s="65"/>
      <c r="K48" s="10"/>
      <c r="L48" s="67"/>
      <c r="M48" s="0" t="n">
        <f aca="false">COUNTIF($K$8:$K$35,"u")</f>
        <v>0</v>
      </c>
      <c r="N48" s="0" t="n">
        <f aca="false">COUNTIF($K$8:$K$35,"0,5 u")</f>
        <v>0</v>
      </c>
    </row>
    <row r="49" customFormat="false" ht="12.75" hidden="false" customHeight="false" outlineLevel="0" collapsed="false">
      <c r="B49" s="53"/>
      <c r="C49" s="0" t="s">
        <v>79</v>
      </c>
      <c r="G49" s="68" t="n">
        <f aca="false">IF(G42+G44-G45-G47&gt;=0,G42+G44-G45-G47,"00:00")</f>
        <v>0.124999999999996</v>
      </c>
      <c r="H49" s="54"/>
      <c r="J49" s="63" t="str">
        <f aca="false">Januar!J50</f>
        <v>Anspruch 2026</v>
      </c>
      <c r="L49" s="62" t="n">
        <f aca="false">L46-L47</f>
        <v>25</v>
      </c>
    </row>
    <row r="50" customFormat="false" ht="13.5" hidden="false" customHeight="false" outlineLevel="0" collapsed="false">
      <c r="B50" s="53"/>
      <c r="C50" s="0" t="s">
        <v>80</v>
      </c>
      <c r="F50" s="59" t="s">
        <v>66</v>
      </c>
      <c r="G50" s="69" t="str">
        <f aca="false">IF(G42+G44-G45-G47&lt;0,-1*(G42+G44-G45-G47),"00:00")</f>
        <v>00:00</v>
      </c>
      <c r="H50" s="54"/>
      <c r="J50" s="70"/>
      <c r="K50" s="71"/>
      <c r="L50" s="72"/>
    </row>
    <row r="51" customFormat="false" ht="13.5" hidden="false" customHeight="false" outlineLevel="0" collapsed="false">
      <c r="B51" s="70"/>
      <c r="C51" s="71"/>
      <c r="D51" s="71"/>
      <c r="E51" s="71"/>
      <c r="F51" s="71"/>
      <c r="G51" s="71"/>
      <c r="H51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5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16" activeCellId="0" sqref="C16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81</v>
      </c>
    </row>
    <row r="5" customFormat="false" ht="12.75" hidden="false" customHeight="false" outlineLevel="0" collapsed="false">
      <c r="A5" s="10"/>
      <c r="K5" s="10"/>
      <c r="L5" s="10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24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v>0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</v>
      </c>
    </row>
    <row r="9" customFormat="false" ht="12.75" hidden="false" customHeight="false" outlineLevel="0" collapsed="false">
      <c r="A9" s="80" t="s">
        <v>17</v>
      </c>
      <c r="B9" s="74" t="s">
        <v>19</v>
      </c>
      <c r="C9" s="25" t="n">
        <v>0.354166666666667</v>
      </c>
      <c r="D9" s="26" t="n">
        <v>0.510416666666667</v>
      </c>
      <c r="E9" s="25"/>
      <c r="F9" s="27"/>
      <c r="G9" s="27"/>
      <c r="H9" s="26"/>
      <c r="I9" s="28" t="n">
        <f aca="false">D9-C9-F9+E9-H9+G9+N9+O9</f>
        <v>0.15625</v>
      </c>
      <c r="J9" s="29" t="n">
        <f aca="false">R9</f>
        <v>0.166666666666667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20</v>
      </c>
      <c r="B10" s="74" t="s">
        <v>22</v>
      </c>
      <c r="C10" s="25" t="n">
        <v>0.385416666666667</v>
      </c>
      <c r="D10" s="26" t="n">
        <v>0.666666666666667</v>
      </c>
      <c r="E10" s="25" t="n">
        <v>0.510416666666667</v>
      </c>
      <c r="F10" s="27" t="n">
        <v>0.53125</v>
      </c>
      <c r="G10" s="27"/>
      <c r="H10" s="26"/>
      <c r="I10" s="28" t="n">
        <f aca="false">D10-C10-F10+E10-H10+G10+N10+O10</f>
        <v>0.260416666666667</v>
      </c>
      <c r="J10" s="29" t="n">
        <f aca="false">R10</f>
        <v>0.166666666666667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0.166666666666667</v>
      </c>
    </row>
    <row r="11" customFormat="false" ht="12.75" hidden="false" customHeight="false" outlineLevel="0" collapsed="false">
      <c r="A11" s="80" t="s">
        <v>23</v>
      </c>
      <c r="B11" s="81" t="s">
        <v>25</v>
      </c>
      <c r="C11" s="25" t="n">
        <v>0.385416666666667</v>
      </c>
      <c r="D11" s="26" t="n">
        <v>0.510416666666667</v>
      </c>
      <c r="E11" s="25"/>
      <c r="F11" s="27"/>
      <c r="G11" s="27"/>
      <c r="H11" s="26"/>
      <c r="I11" s="28" t="n">
        <f aca="false">D11-C11-F11+E11-H11+G11+N11+O11</f>
        <v>0.125</v>
      </c>
      <c r="J11" s="29" t="n">
        <f aca="false">R11</f>
        <v>0.166666666666667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0.166666666666667</v>
      </c>
    </row>
    <row r="12" customFormat="false" ht="12.75" hidden="false" customHeight="false" outlineLevel="0" collapsed="false">
      <c r="A12" s="80" t="s">
        <v>15</v>
      </c>
      <c r="B12" s="81" t="s">
        <v>26</v>
      </c>
      <c r="C12" s="25" t="n">
        <v>0.375</v>
      </c>
      <c r="D12" s="26" t="n">
        <v>0.5</v>
      </c>
      <c r="E12" s="25"/>
      <c r="F12" s="27"/>
      <c r="G12" s="27"/>
      <c r="H12" s="26"/>
      <c r="I12" s="28" t="n">
        <f aca="false">D12-C12-F12+E12-H12+G12+N12+O12</f>
        <v>0.125</v>
      </c>
      <c r="J12" s="29" t="n">
        <f aca="false">R12</f>
        <v>0.166666666666667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0.166666666666667</v>
      </c>
    </row>
    <row r="13" customFormat="false" ht="12.75" hidden="false" customHeight="false" outlineLevel="0" collapsed="false">
      <c r="A13" s="80" t="s">
        <v>18</v>
      </c>
      <c r="B13" s="81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</v>
      </c>
      <c r="J13" s="29" t="n">
        <f aca="false">R13</f>
        <v>0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</v>
      </c>
    </row>
    <row r="14" customFormat="false" ht="12.75" hidden="false" customHeight="false" outlineLevel="0" collapsed="false">
      <c r="A14" s="80" t="s">
        <v>33</v>
      </c>
      <c r="B14" s="81" t="s">
        <v>30</v>
      </c>
      <c r="C14" s="25"/>
      <c r="D14" s="26"/>
      <c r="E14" s="25"/>
      <c r="F14" s="27"/>
      <c r="G14" s="27"/>
      <c r="H14" s="26"/>
      <c r="I14" s="28" t="n">
        <f aca="false">D14-C14-F14+E14-H14+G14+N14+O14</f>
        <v>0</v>
      </c>
      <c r="J14" s="29" t="n">
        <f aca="false">R14</f>
        <v>0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</v>
      </c>
    </row>
    <row r="15" customFormat="false" ht="12.75" hidden="false" customHeight="false" outlineLevel="0" collapsed="false">
      <c r="A15" s="80" t="s">
        <v>24</v>
      </c>
      <c r="B15" s="81" t="s">
        <v>31</v>
      </c>
      <c r="C15" s="25"/>
      <c r="D15" s="26"/>
      <c r="E15" s="25"/>
      <c r="F15" s="27"/>
      <c r="G15" s="27"/>
      <c r="H15" s="26"/>
      <c r="I15" s="28" t="n">
        <f aca="false">D15-C15-F15+E15-H15+G15+N15+O15</f>
        <v>0</v>
      </c>
      <c r="J15" s="29" t="n">
        <f aca="false">R15</f>
        <v>0</v>
      </c>
      <c r="K15" s="82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</v>
      </c>
    </row>
    <row r="16" customFormat="false" ht="12.75" hidden="false" customHeight="false" outlineLevel="0" collapsed="false">
      <c r="A16" s="80" t="s">
        <v>17</v>
      </c>
      <c r="B16" s="81" t="s">
        <v>32</v>
      </c>
      <c r="C16" s="25" t="n">
        <v>0.354166666666667</v>
      </c>
      <c r="D16" s="26" t="n">
        <v>0.510416666666667</v>
      </c>
      <c r="E16" s="25"/>
      <c r="F16" s="27"/>
      <c r="G16" s="27"/>
      <c r="H16" s="26"/>
      <c r="I16" s="28" t="n">
        <f aca="false">D16-C16-F16+E16-H16+G16+N16+O16</f>
        <v>0.15625</v>
      </c>
      <c r="J16" s="29" t="n">
        <f aca="false">R16</f>
        <v>0.166666666666667</v>
      </c>
      <c r="K16" s="82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20</v>
      </c>
      <c r="B17" s="81" t="s">
        <v>34</v>
      </c>
      <c r="C17" s="25" t="n">
        <v>0.385416666666667</v>
      </c>
      <c r="D17" s="26" t="n">
        <v>0.666666666666667</v>
      </c>
      <c r="E17" s="25" t="n">
        <v>0.510416666666667</v>
      </c>
      <c r="F17" s="27" t="n">
        <v>0.53125</v>
      </c>
      <c r="G17" s="27"/>
      <c r="H17" s="26"/>
      <c r="I17" s="28" t="n">
        <f aca="false">D17-C17-F17+E17-H17+G17+N17+O17</f>
        <v>0.260416666666667</v>
      </c>
      <c r="J17" s="29" t="n">
        <f aca="false">R17</f>
        <v>0.166666666666667</v>
      </c>
      <c r="K17" s="82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80" t="s">
        <v>23</v>
      </c>
      <c r="B18" s="81" t="s">
        <v>35</v>
      </c>
      <c r="C18" s="25" t="n">
        <v>0.385416666666667</v>
      </c>
      <c r="D18" s="26" t="n">
        <v>0.510416666666667</v>
      </c>
      <c r="E18" s="25"/>
      <c r="F18" s="27"/>
      <c r="G18" s="27"/>
      <c r="H18" s="26"/>
      <c r="I18" s="28" t="n">
        <f aca="false">D18-C18-F18+E18-H18+G18+N18+O18</f>
        <v>0.125</v>
      </c>
      <c r="J18" s="29" t="n">
        <f aca="false">R18</f>
        <v>0.166666666666667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0.166666666666667</v>
      </c>
    </row>
    <row r="19" customFormat="false" ht="12.75" hidden="false" customHeight="false" outlineLevel="0" collapsed="false">
      <c r="A19" s="80" t="s">
        <v>15</v>
      </c>
      <c r="B19" s="81" t="s">
        <v>36</v>
      </c>
      <c r="C19" s="25" t="n">
        <v>0.375</v>
      </c>
      <c r="D19" s="26" t="n">
        <v>0.5</v>
      </c>
      <c r="E19" s="25"/>
      <c r="F19" s="27"/>
      <c r="G19" s="27"/>
      <c r="H19" s="26"/>
      <c r="I19" s="28" t="n">
        <f aca="false">D19-C19-F19+E19-H19+G19+N19+O19</f>
        <v>0.125</v>
      </c>
      <c r="J19" s="29" t="n">
        <f aca="false">R19</f>
        <v>0.166666666666667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0.166666666666667</v>
      </c>
      <c r="T19" s="0" t="s">
        <v>46</v>
      </c>
    </row>
    <row r="20" customFormat="false" ht="12.75" hidden="false" customHeight="false" outlineLevel="0" collapsed="false">
      <c r="A20" s="80" t="s">
        <v>18</v>
      </c>
      <c r="B20" s="81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</v>
      </c>
      <c r="K20" s="30" t="s">
        <v>46</v>
      </c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</v>
      </c>
    </row>
    <row r="21" customFormat="false" ht="12.75" hidden="false" customHeight="false" outlineLevel="0" collapsed="false">
      <c r="A21" s="80" t="s">
        <v>33</v>
      </c>
      <c r="B21" s="81" t="s">
        <v>40</v>
      </c>
      <c r="C21" s="25"/>
      <c r="D21" s="26"/>
      <c r="E21" s="25"/>
      <c r="F21" s="27"/>
      <c r="G21" s="27"/>
      <c r="H21" s="26"/>
      <c r="I21" s="28" t="n">
        <f aca="false">D21-C21-F21+E21-H21+G21+N21+O21</f>
        <v>0</v>
      </c>
      <c r="J21" s="29" t="n">
        <f aca="false">R21</f>
        <v>0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</v>
      </c>
    </row>
    <row r="22" customFormat="false" ht="12.75" hidden="false" customHeight="false" outlineLevel="0" collapsed="false">
      <c r="A22" s="80" t="s">
        <v>24</v>
      </c>
      <c r="B22" s="81" t="s">
        <v>41</v>
      </c>
      <c r="C22" s="25"/>
      <c r="D22" s="26"/>
      <c r="E22" s="25"/>
      <c r="F22" s="27"/>
      <c r="G22" s="27"/>
      <c r="H22" s="26"/>
      <c r="I22" s="28" t="n">
        <f aca="false">D22-C22-F22+E22-H22+G22+N22+O22</f>
        <v>0</v>
      </c>
      <c r="J22" s="29" t="n">
        <f aca="false">R22</f>
        <v>0</v>
      </c>
      <c r="K22" s="25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</v>
      </c>
    </row>
    <row r="23" customFormat="false" ht="12.75" hidden="false" customHeight="false" outlineLevel="0" collapsed="false">
      <c r="A23" s="80" t="s">
        <v>17</v>
      </c>
      <c r="B23" s="81" t="s">
        <v>42</v>
      </c>
      <c r="C23" s="25" t="n">
        <v>0.354166666666667</v>
      </c>
      <c r="D23" s="26" t="n">
        <v>0.510416666666667</v>
      </c>
      <c r="E23" s="25"/>
      <c r="F23" s="27"/>
      <c r="G23" s="27"/>
      <c r="H23" s="26"/>
      <c r="I23" s="28" t="n">
        <f aca="false">D23-C23-F23+E23-H23+G23+N23+O23</f>
        <v>0.15625</v>
      </c>
      <c r="J23" s="29" t="n">
        <f aca="false">R23</f>
        <v>0.166666666666667</v>
      </c>
      <c r="K23" s="25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20</v>
      </c>
      <c r="B24" s="81" t="s">
        <v>43</v>
      </c>
      <c r="C24" s="25" t="n">
        <v>0.385416666666667</v>
      </c>
      <c r="D24" s="26" t="n">
        <v>0.666666666666667</v>
      </c>
      <c r="E24" s="25" t="n">
        <v>0.510416666666667</v>
      </c>
      <c r="F24" s="27" t="n">
        <v>0.53125</v>
      </c>
      <c r="G24" s="27"/>
      <c r="H24" s="26"/>
      <c r="I24" s="28" t="n">
        <f aca="false">D24-C24-F24+E24-H24+G24+N24+O24</f>
        <v>0.260416666666667</v>
      </c>
      <c r="J24" s="29" t="n">
        <f aca="false">R24</f>
        <v>0.166666666666667</v>
      </c>
      <c r="K24" s="25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80" t="s">
        <v>23</v>
      </c>
      <c r="B25" s="81" t="s">
        <v>44</v>
      </c>
      <c r="C25" s="25" t="n">
        <v>0.385416666666667</v>
      </c>
      <c r="D25" s="26" t="n">
        <v>0.510416666666667</v>
      </c>
      <c r="E25" s="25"/>
      <c r="F25" s="27"/>
      <c r="G25" s="27"/>
      <c r="H25" s="26"/>
      <c r="I25" s="28" t="n">
        <f aca="false">D25-C25-F25+E25-H25+G25+N25+O25</f>
        <v>0.125</v>
      </c>
      <c r="J25" s="29" t="n">
        <f aca="false">R25</f>
        <v>0.166666666666667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0.166666666666667</v>
      </c>
    </row>
    <row r="26" customFormat="false" ht="12.75" hidden="false" customHeight="false" outlineLevel="0" collapsed="false">
      <c r="A26" s="80" t="s">
        <v>15</v>
      </c>
      <c r="B26" s="81" t="s">
        <v>45</v>
      </c>
      <c r="C26" s="25" t="n">
        <v>0.375</v>
      </c>
      <c r="D26" s="26" t="n">
        <v>0.5</v>
      </c>
      <c r="E26" s="25"/>
      <c r="F26" s="27"/>
      <c r="G26" s="27"/>
      <c r="H26" s="26"/>
      <c r="I26" s="28" t="n">
        <f aca="false">D26-C26-F26+E26-H26+G26+N26+O26</f>
        <v>0.125</v>
      </c>
      <c r="J26" s="29" t="n">
        <f aca="false">R26</f>
        <v>0.166666666666667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0.166666666666667</v>
      </c>
    </row>
    <row r="27" customFormat="false" ht="12.75" hidden="false" customHeight="false" outlineLevel="0" collapsed="false">
      <c r="A27" s="80" t="s">
        <v>18</v>
      </c>
      <c r="B27" s="81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</v>
      </c>
    </row>
    <row r="28" customFormat="false" ht="12.75" hidden="false" customHeight="false" outlineLevel="0" collapsed="false">
      <c r="A28" s="80" t="s">
        <v>33</v>
      </c>
      <c r="B28" s="81" t="s">
        <v>48</v>
      </c>
      <c r="C28" s="25"/>
      <c r="D28" s="26"/>
      <c r="E28" s="25"/>
      <c r="F28" s="27"/>
      <c r="G28" s="27"/>
      <c r="H28" s="26"/>
      <c r="I28" s="28" t="n">
        <f aca="false">D28-C28-F28+E28-H28+G28+N28+O28</f>
        <v>0</v>
      </c>
      <c r="J28" s="29" t="n">
        <f aca="false">R28</f>
        <v>0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</v>
      </c>
    </row>
    <row r="29" customFormat="false" ht="12.75" hidden="false" customHeight="false" outlineLevel="0" collapsed="false">
      <c r="A29" s="80" t="s">
        <v>24</v>
      </c>
      <c r="B29" s="81" t="s">
        <v>49</v>
      </c>
      <c r="C29" s="25"/>
      <c r="D29" s="26"/>
      <c r="E29" s="25"/>
      <c r="F29" s="27"/>
      <c r="G29" s="27"/>
      <c r="H29" s="26"/>
      <c r="I29" s="28" t="n">
        <f aca="false">D29-C29-F29+E29-H29+G29+N29+O29</f>
        <v>0</v>
      </c>
      <c r="J29" s="29" t="n">
        <f aca="false">R29</f>
        <v>0</v>
      </c>
      <c r="K29" s="25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</v>
      </c>
    </row>
    <row r="30" customFormat="false" ht="12.75" hidden="false" customHeight="false" outlineLevel="0" collapsed="false">
      <c r="A30" s="80" t="s">
        <v>17</v>
      </c>
      <c r="B30" s="81" t="s">
        <v>50</v>
      </c>
      <c r="C30" s="25" t="n">
        <v>0.354166666666667</v>
      </c>
      <c r="D30" s="26" t="n">
        <v>0.510416666666667</v>
      </c>
      <c r="E30" s="25"/>
      <c r="F30" s="27"/>
      <c r="G30" s="27"/>
      <c r="H30" s="26"/>
      <c r="I30" s="28" t="n">
        <f aca="false">D30-C30-F30+E30-H30+G30+N30+O30</f>
        <v>0.15625</v>
      </c>
      <c r="J30" s="29" t="n">
        <f aca="false">R30</f>
        <v>0.166666666666667</v>
      </c>
      <c r="K30" s="25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20</v>
      </c>
      <c r="B31" s="81" t="s">
        <v>51</v>
      </c>
      <c r="C31" s="25" t="n">
        <v>0.385416666666667</v>
      </c>
      <c r="D31" s="26" t="n">
        <v>0.666666666666667</v>
      </c>
      <c r="E31" s="25" t="n">
        <v>0.510416666666667</v>
      </c>
      <c r="F31" s="27" t="n">
        <v>0.53125</v>
      </c>
      <c r="G31" s="27"/>
      <c r="H31" s="26"/>
      <c r="I31" s="28" t="n">
        <f aca="false">D31-C31-F31+E31-H31+G31+N31+O31</f>
        <v>0.260416666666667</v>
      </c>
      <c r="J31" s="29" t="n">
        <f aca="false">R31</f>
        <v>0.166666666666667</v>
      </c>
      <c r="K31" s="25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80" t="s">
        <v>23</v>
      </c>
      <c r="B32" s="81" t="s">
        <v>52</v>
      </c>
      <c r="C32" s="25" t="n">
        <v>0.385416666666667</v>
      </c>
      <c r="D32" s="26" t="n">
        <v>0.510416666666667</v>
      </c>
      <c r="E32" s="25"/>
      <c r="F32" s="27"/>
      <c r="G32" s="27"/>
      <c r="H32" s="26"/>
      <c r="I32" s="28" t="n">
        <f aca="false">D32-C32-F32+E32-H32+G32+N32+O32</f>
        <v>0.125</v>
      </c>
      <c r="J32" s="29" t="n">
        <f aca="false">R32</f>
        <v>0.166666666666667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0.166666666666667</v>
      </c>
    </row>
    <row r="33" customFormat="false" ht="12.75" hidden="false" customHeight="false" outlineLevel="0" collapsed="false">
      <c r="A33" s="80" t="s">
        <v>15</v>
      </c>
      <c r="B33" s="81" t="s">
        <v>53</v>
      </c>
      <c r="C33" s="25" t="n">
        <v>0.375</v>
      </c>
      <c r="D33" s="26" t="n">
        <v>0.5</v>
      </c>
      <c r="E33" s="25"/>
      <c r="F33" s="27"/>
      <c r="G33" s="27"/>
      <c r="H33" s="26"/>
      <c r="I33" s="28" t="n">
        <f aca="false">D33-C33-F33+E33-H33+G33+N33+O33</f>
        <v>0.125</v>
      </c>
      <c r="J33" s="29" t="n">
        <f aca="false">R33</f>
        <v>0.166666666666667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0.166666666666667</v>
      </c>
    </row>
    <row r="34" customFormat="false" ht="12.75" hidden="false" customHeight="false" outlineLevel="0" collapsed="false">
      <c r="A34" s="80" t="s">
        <v>18</v>
      </c>
      <c r="B34" s="81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</v>
      </c>
      <c r="J34" s="29" t="n">
        <f aca="false">R34</f>
        <v>0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</v>
      </c>
    </row>
    <row r="35" customFormat="false" ht="12.75" hidden="false" customHeight="false" outlineLevel="0" collapsed="false">
      <c r="A35" s="80" t="s">
        <v>33</v>
      </c>
      <c r="B35" s="81" t="s">
        <v>55</v>
      </c>
      <c r="C35" s="25"/>
      <c r="D35" s="26"/>
      <c r="E35" s="25"/>
      <c r="F35" s="27"/>
      <c r="G35" s="27"/>
      <c r="H35" s="26"/>
      <c r="I35" s="28" t="n">
        <f aca="false">D35-C35-F35+E35-H35+G35+N35+O35</f>
        <v>0</v>
      </c>
      <c r="J35" s="29" t="n">
        <f aca="false">R35</f>
        <v>0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</v>
      </c>
    </row>
    <row r="36" customFormat="false" ht="12.75" hidden="false" customHeight="false" outlineLevel="0" collapsed="false">
      <c r="A36" s="80" t="s">
        <v>24</v>
      </c>
      <c r="B36" s="81" t="s">
        <v>56</v>
      </c>
      <c r="C36" s="25"/>
      <c r="D36" s="26"/>
      <c r="E36" s="25"/>
      <c r="F36" s="27"/>
      <c r="G36" s="27"/>
      <c r="H36" s="26"/>
      <c r="I36" s="28" t="n">
        <f aca="false">D36-C36-F36+E36-H36+G36+N36+O36</f>
        <v>0</v>
      </c>
      <c r="J36" s="29" t="n">
        <v>0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</v>
      </c>
    </row>
    <row r="37" customFormat="false" ht="12.75" hidden="false" customHeight="false" outlineLevel="0" collapsed="false">
      <c r="A37" s="80" t="s">
        <v>17</v>
      </c>
      <c r="B37" s="81" t="s">
        <v>57</v>
      </c>
      <c r="C37" s="25" t="n">
        <v>0.354166666666667</v>
      </c>
      <c r="D37" s="26" t="n">
        <v>0.510416666666667</v>
      </c>
      <c r="E37" s="25"/>
      <c r="F37" s="27"/>
      <c r="G37" s="27"/>
      <c r="H37" s="26"/>
      <c r="I37" s="28" t="n">
        <f aca="false">D37-C37-F37+E37-H37+G37+N37+O37</f>
        <v>0.15625</v>
      </c>
      <c r="J37" s="29" t="n">
        <f aca="false">R37</f>
        <v>0.166666666666667</v>
      </c>
      <c r="K37" s="27"/>
      <c r="L37" s="31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</row>
    <row r="38" customFormat="false" ht="12.75" hidden="false" customHeight="false" outlineLevel="0" collapsed="false">
      <c r="A38" s="83" t="s">
        <v>20</v>
      </c>
      <c r="B38" s="84" t="s">
        <v>58</v>
      </c>
      <c r="C38" s="25" t="n">
        <v>0.385416666666667</v>
      </c>
      <c r="D38" s="26" t="n">
        <v>0.666666666666667</v>
      </c>
      <c r="E38" s="25" t="n">
        <v>0.510416666666667</v>
      </c>
      <c r="F38" s="27" t="n">
        <v>0.53125</v>
      </c>
      <c r="G38" s="43"/>
      <c r="H38" s="42"/>
      <c r="I38" s="44" t="n">
        <f aca="false">D38-C38-F38+E38-H38+G38+N38+O38</f>
        <v>0.260416666666667</v>
      </c>
      <c r="J38" s="45" t="n">
        <f aca="false">R38</f>
        <v>0.166666666666667</v>
      </c>
      <c r="K38" s="43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IF(A38="Mo",Januar!$Q$8,IF(A38="Di",Januar!$Q$9,IF(A38="Mi",Januar!$Q$10,IF(A38="Do",Januar!$Q$11,IF(A38="Fr",Januar!$Q$12,Januar!$Q$13)))))</f>
        <v>0.166666666666667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3.08333333333333</v>
      </c>
      <c r="J40" s="47" t="n">
        <f aca="false">SUM(J8:J38)</f>
        <v>3</v>
      </c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3.08333333333333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n">
        <f aca="false">Februar!G49</f>
        <v>0.124999999999996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str">
        <f aca="false">Februar!G50</f>
        <v>00:00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3</v>
      </c>
      <c r="H48" s="54"/>
      <c r="J48" s="63" t="str">
        <f aca="false">Januar!J48</f>
        <v>genommener Urlaub</v>
      </c>
      <c r="L48" s="62" t="n">
        <f aca="false">M48+Februar!L47+0.5*N48</f>
        <v>3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7"/>
    </row>
    <row r="50" customFormat="false" ht="12.75" hidden="false" customHeight="false" outlineLevel="0" collapsed="false">
      <c r="B50" s="53"/>
      <c r="C50" s="0" t="s">
        <v>82</v>
      </c>
      <c r="G50" s="68" t="n">
        <f aca="false">IF(G43+G45-G46-G48&gt;=0,G43+G45-G46-G48,"00:00")</f>
        <v>0.208333333333329</v>
      </c>
      <c r="H50" s="54"/>
      <c r="J50" s="63" t="str">
        <f aca="false">Januar!J50</f>
        <v>Anspruch 2026</v>
      </c>
      <c r="L50" s="62" t="n">
        <f aca="false">L47-L48</f>
        <v>25</v>
      </c>
    </row>
    <row r="51" customFormat="false" ht="13.5" hidden="false" customHeight="false" outlineLevel="0" collapsed="false">
      <c r="B51" s="53"/>
      <c r="C51" s="0" t="s">
        <v>83</v>
      </c>
      <c r="F51" s="59" t="s">
        <v>66</v>
      </c>
      <c r="G51" s="69" t="str">
        <f aca="false">IF(G43+G45-G46-G48&lt;0,-1*(G43+G45-G46-G48),"00:00")</f>
        <v>00:00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84</v>
      </c>
    </row>
    <row r="5" customFormat="false" ht="12.75" hidden="false" customHeight="true" outlineLevel="0" collapsed="false">
      <c r="A5" s="10"/>
      <c r="B5" s="3"/>
      <c r="C5" s="3"/>
      <c r="D5" s="3"/>
      <c r="E5" s="3"/>
      <c r="F5" s="3"/>
      <c r="G5" s="3"/>
      <c r="H5" s="3"/>
      <c r="I5" s="3"/>
      <c r="J5" s="3"/>
      <c r="K5" s="10"/>
      <c r="L5" s="10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23</v>
      </c>
      <c r="B8" s="74" t="s">
        <v>16</v>
      </c>
      <c r="C8" s="25" t="n">
        <v>0.385416666666667</v>
      </c>
      <c r="D8" s="26" t="n">
        <v>0.510416666666667</v>
      </c>
      <c r="E8" s="25"/>
      <c r="F8" s="27"/>
      <c r="G8" s="27"/>
      <c r="H8" s="26"/>
      <c r="I8" s="28" t="n">
        <f aca="false">D8-C8-F8+E8-H8+G8+N8+O8</f>
        <v>0.125</v>
      </c>
      <c r="J8" s="29" t="n">
        <f aca="false">R8</f>
        <v>0.166666666666667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0.166666666666667</v>
      </c>
    </row>
    <row r="9" customFormat="false" ht="12.75" hidden="false" customHeight="false" outlineLevel="0" collapsed="false">
      <c r="A9" s="80" t="s">
        <v>15</v>
      </c>
      <c r="B9" s="74" t="s">
        <v>19</v>
      </c>
      <c r="C9" s="25" t="n">
        <v>0.375</v>
      </c>
      <c r="D9" s="26" t="n">
        <v>0.5</v>
      </c>
      <c r="E9" s="25"/>
      <c r="F9" s="27"/>
      <c r="G9" s="27"/>
      <c r="H9" s="26"/>
      <c r="I9" s="28" t="n">
        <f aca="false">D9-C9-F9+E9-H9+G9+N9+O9</f>
        <v>0.125</v>
      </c>
      <c r="J9" s="29" t="n">
        <f aca="false">R9</f>
        <v>0.166666666666667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18</v>
      </c>
      <c r="B10" s="81" t="s">
        <v>22</v>
      </c>
      <c r="C10" s="25"/>
      <c r="D10" s="26"/>
      <c r="E10" s="25"/>
      <c r="F10" s="27"/>
      <c r="G10" s="27"/>
      <c r="H10" s="26"/>
      <c r="I10" s="28" t="n">
        <f aca="false">D10-C10-F10+E10-H10+G10+N10+O10</f>
        <v>0</v>
      </c>
      <c r="J10" s="29" t="n">
        <v>0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</v>
      </c>
    </row>
    <row r="11" customFormat="false" ht="12.75" hidden="false" customHeight="false" outlineLevel="0" collapsed="false">
      <c r="A11" s="80" t="s">
        <v>33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f aca="false">R11</f>
        <v>0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</v>
      </c>
    </row>
    <row r="12" customFormat="false" ht="12.75" hidden="false" customHeight="false" outlineLevel="0" collapsed="false">
      <c r="A12" s="80" t="s">
        <v>24</v>
      </c>
      <c r="B12" s="81" t="s">
        <v>26</v>
      </c>
      <c r="C12" s="25"/>
      <c r="D12" s="26"/>
      <c r="E12" s="25"/>
      <c r="F12" s="27"/>
      <c r="G12" s="27"/>
      <c r="H12" s="26"/>
      <c r="I12" s="28" t="n">
        <f aca="false">D12-C12-F12+E12-H12+G12+N12+O12</f>
        <v>0</v>
      </c>
      <c r="J12" s="29" t="n">
        <f aca="false">R12</f>
        <v>0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</v>
      </c>
    </row>
    <row r="13" customFormat="false" ht="12.75" hidden="false" customHeight="false" outlineLevel="0" collapsed="false">
      <c r="A13" s="80" t="s">
        <v>17</v>
      </c>
      <c r="B13" s="81" t="s">
        <v>28</v>
      </c>
      <c r="C13" s="25" t="n">
        <v>0.354166666666667</v>
      </c>
      <c r="D13" s="26" t="n">
        <v>0.510416666666667</v>
      </c>
      <c r="E13" s="25"/>
      <c r="F13" s="27"/>
      <c r="G13" s="27"/>
      <c r="H13" s="26"/>
      <c r="I13" s="28" t="n">
        <f aca="false">D13-C13-F13+E13-H13+G13+N13+O13</f>
        <v>0.15625</v>
      </c>
      <c r="J13" s="29" t="n">
        <v>0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0.166666666666667</v>
      </c>
    </row>
    <row r="14" customFormat="false" ht="12.75" hidden="false" customHeight="false" outlineLevel="0" collapsed="false">
      <c r="A14" s="80" t="s">
        <v>20</v>
      </c>
      <c r="B14" s="81" t="s">
        <v>30</v>
      </c>
      <c r="C14" s="25" t="n">
        <v>0.385416666666667</v>
      </c>
      <c r="D14" s="26" t="n">
        <v>0.666666666666667</v>
      </c>
      <c r="E14" s="25" t="n">
        <v>0.510416666666667</v>
      </c>
      <c r="F14" s="27" t="n">
        <v>0.53125</v>
      </c>
      <c r="G14" s="27"/>
      <c r="H14" s="26"/>
      <c r="I14" s="28" t="n">
        <f aca="false">D14-C14-F14+E14-H14+G14+N14+O14</f>
        <v>0.260416666666667</v>
      </c>
      <c r="J14" s="29" t="n">
        <f aca="false">R14</f>
        <v>0.166666666666667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0.166666666666667</v>
      </c>
    </row>
    <row r="15" customFormat="false" ht="12.75" hidden="false" customHeight="false" outlineLevel="0" collapsed="false">
      <c r="A15" s="80" t="s">
        <v>23</v>
      </c>
      <c r="B15" s="81" t="s">
        <v>31</v>
      </c>
      <c r="C15" s="25" t="n">
        <v>0.385416666666667</v>
      </c>
      <c r="D15" s="26" t="n">
        <v>0.510416666666667</v>
      </c>
      <c r="E15" s="25"/>
      <c r="F15" s="27"/>
      <c r="G15" s="27"/>
      <c r="H15" s="26"/>
      <c r="I15" s="28" t="n">
        <f aca="false">D15-C15-F15+E15-H15+G15+N15+O15</f>
        <v>0.125</v>
      </c>
      <c r="J15" s="29" t="n">
        <f aca="false">R15</f>
        <v>0.166666666666667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0.166666666666667</v>
      </c>
    </row>
    <row r="16" customFormat="false" ht="12.75" hidden="false" customHeight="false" outlineLevel="0" collapsed="false">
      <c r="A16" s="80" t="s">
        <v>15</v>
      </c>
      <c r="B16" s="81" t="s">
        <v>32</v>
      </c>
      <c r="C16" s="25" t="n">
        <v>0.375</v>
      </c>
      <c r="D16" s="26" t="n">
        <v>0.5</v>
      </c>
      <c r="E16" s="25"/>
      <c r="F16" s="27"/>
      <c r="G16" s="27"/>
      <c r="H16" s="26"/>
      <c r="I16" s="28" t="n">
        <f aca="false">D16-C16-F16+E16-H16+G16+N16+O16</f>
        <v>0.125</v>
      </c>
      <c r="J16" s="29" t="n">
        <f aca="false">R16</f>
        <v>0.166666666666667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18</v>
      </c>
      <c r="B17" s="81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</v>
      </c>
    </row>
    <row r="18" customFormat="false" ht="12.75" hidden="false" customHeight="false" outlineLevel="0" collapsed="false">
      <c r="A18" s="80" t="s">
        <v>33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</v>
      </c>
    </row>
    <row r="19" customFormat="false" ht="12.75" hidden="false" customHeight="false" outlineLevel="0" collapsed="false">
      <c r="A19" s="80" t="s">
        <v>24</v>
      </c>
      <c r="B19" s="81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</v>
      </c>
      <c r="J19" s="29" t="n">
        <f aca="false">R19</f>
        <v>0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</v>
      </c>
    </row>
    <row r="20" customFormat="false" ht="12.75" hidden="false" customHeight="false" outlineLevel="0" collapsed="false">
      <c r="A20" s="80" t="s">
        <v>17</v>
      </c>
      <c r="B20" s="81" t="s">
        <v>38</v>
      </c>
      <c r="C20" s="25" t="n">
        <v>0.354166666666667</v>
      </c>
      <c r="D20" s="26" t="n">
        <v>0.510416666666667</v>
      </c>
      <c r="E20" s="25"/>
      <c r="F20" s="27"/>
      <c r="G20" s="27"/>
      <c r="H20" s="26"/>
      <c r="I20" s="28" t="n">
        <f aca="false">D20-C20-F20+E20-H20+G20+N20+O20</f>
        <v>0.15625</v>
      </c>
      <c r="J20" s="29" t="n">
        <f aca="false">R20</f>
        <v>0.166666666666667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0.166666666666667</v>
      </c>
    </row>
    <row r="21" customFormat="false" ht="12.75" hidden="false" customHeight="false" outlineLevel="0" collapsed="false">
      <c r="A21" s="80" t="s">
        <v>20</v>
      </c>
      <c r="B21" s="81" t="s">
        <v>40</v>
      </c>
      <c r="C21" s="25" t="n">
        <v>0.385416666666667</v>
      </c>
      <c r="D21" s="26" t="n">
        <v>0.666666666666667</v>
      </c>
      <c r="E21" s="25" t="n">
        <v>0.510416666666667</v>
      </c>
      <c r="F21" s="27" t="n">
        <v>0.53125</v>
      </c>
      <c r="G21" s="27"/>
      <c r="H21" s="26"/>
      <c r="I21" s="28" t="n">
        <f aca="false">D21-C21-F21+E21-H21+G21+N21+O21</f>
        <v>0.260416666666667</v>
      </c>
      <c r="J21" s="29" t="n">
        <f aca="false">R21</f>
        <v>0.166666666666667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0.166666666666667</v>
      </c>
    </row>
    <row r="22" customFormat="false" ht="12.75" hidden="false" customHeight="false" outlineLevel="0" collapsed="false">
      <c r="A22" s="80" t="s">
        <v>23</v>
      </c>
      <c r="B22" s="81" t="s">
        <v>41</v>
      </c>
      <c r="C22" s="25" t="n">
        <v>0.385416666666667</v>
      </c>
      <c r="D22" s="26" t="n">
        <v>0.510416666666667</v>
      </c>
      <c r="E22" s="25"/>
      <c r="F22" s="27"/>
      <c r="G22" s="27"/>
      <c r="H22" s="26"/>
      <c r="I22" s="28" t="n">
        <f aca="false">D22-C22-F22+E22-H22+G22+N22+O22</f>
        <v>0.125</v>
      </c>
      <c r="J22" s="29" t="n">
        <f aca="false">R22</f>
        <v>0.166666666666667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0.166666666666667</v>
      </c>
    </row>
    <row r="23" customFormat="false" ht="12.75" hidden="false" customHeight="false" outlineLevel="0" collapsed="false">
      <c r="A23" s="80" t="s">
        <v>15</v>
      </c>
      <c r="B23" s="81" t="s">
        <v>42</v>
      </c>
      <c r="C23" s="25" t="n">
        <v>0.375</v>
      </c>
      <c r="D23" s="26" t="n">
        <v>0.5</v>
      </c>
      <c r="E23" s="25"/>
      <c r="F23" s="27"/>
      <c r="G23" s="27"/>
      <c r="H23" s="26"/>
      <c r="I23" s="28" t="n">
        <f aca="false">D23-C23-F23+E23-H23+G23+N23+O23</f>
        <v>0.125</v>
      </c>
      <c r="J23" s="29" t="n">
        <f aca="false">R23</f>
        <v>0.166666666666667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18</v>
      </c>
      <c r="B24" s="81" t="s">
        <v>43</v>
      </c>
      <c r="C24" s="25"/>
      <c r="D24" s="26"/>
      <c r="E24" s="25"/>
      <c r="F24" s="27"/>
      <c r="G24" s="27"/>
      <c r="H24" s="26"/>
      <c r="I24" s="28" t="n">
        <f aca="false">D24-C24-F24+E24-H24+G24+N24+O24</f>
        <v>0</v>
      </c>
      <c r="J24" s="29" t="n">
        <f aca="false">R24</f>
        <v>0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</v>
      </c>
    </row>
    <row r="25" customFormat="false" ht="12.75" hidden="false" customHeight="false" outlineLevel="0" collapsed="false">
      <c r="A25" s="80" t="s">
        <v>33</v>
      </c>
      <c r="B25" s="81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v>0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</v>
      </c>
    </row>
    <row r="26" customFormat="false" ht="12.75" hidden="false" customHeight="false" outlineLevel="0" collapsed="false">
      <c r="A26" s="80" t="s">
        <v>24</v>
      </c>
      <c r="B26" s="81" t="s">
        <v>45</v>
      </c>
      <c r="C26" s="25"/>
      <c r="D26" s="26"/>
      <c r="E26" s="25"/>
      <c r="F26" s="27"/>
      <c r="G26" s="27"/>
      <c r="H26" s="26"/>
      <c r="I26" s="28" t="n">
        <f aca="false">D26-C26-F26+E26-H26+G26+N26+O26</f>
        <v>0</v>
      </c>
      <c r="J26" s="29" t="n">
        <f aca="false">R26</f>
        <v>0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</v>
      </c>
    </row>
    <row r="27" customFormat="false" ht="12.75" hidden="false" customHeight="false" outlineLevel="0" collapsed="false">
      <c r="A27" s="80" t="s">
        <v>17</v>
      </c>
      <c r="B27" s="81" t="s">
        <v>47</v>
      </c>
      <c r="C27" s="25" t="n">
        <v>0.354166666666667</v>
      </c>
      <c r="D27" s="26" t="n">
        <v>0.510416666666667</v>
      </c>
      <c r="E27" s="25"/>
      <c r="F27" s="27"/>
      <c r="G27" s="27"/>
      <c r="H27" s="26"/>
      <c r="I27" s="28" t="n">
        <f aca="false">D27-C27-F27+E27-H27+G27+N27+O27</f>
        <v>0.15625</v>
      </c>
      <c r="J27" s="29" t="n">
        <f aca="false">R27</f>
        <v>0.166666666666667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0.166666666666667</v>
      </c>
    </row>
    <row r="28" customFormat="false" ht="12.75" hidden="false" customHeight="false" outlineLevel="0" collapsed="false">
      <c r="A28" s="80" t="s">
        <v>20</v>
      </c>
      <c r="B28" s="81" t="s">
        <v>48</v>
      </c>
      <c r="C28" s="25" t="n">
        <v>0.385416666666667</v>
      </c>
      <c r="D28" s="26" t="n">
        <v>0.666666666666667</v>
      </c>
      <c r="E28" s="25" t="n">
        <v>0.510416666666667</v>
      </c>
      <c r="F28" s="27" t="n">
        <v>0.53125</v>
      </c>
      <c r="G28" s="27"/>
      <c r="H28" s="26"/>
      <c r="I28" s="28" t="n">
        <f aca="false">D28-C28-F28+E28-H28+G28+N28+O28</f>
        <v>0.260416666666667</v>
      </c>
      <c r="J28" s="29" t="n">
        <v>0.275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0.166666666666667</v>
      </c>
    </row>
    <row r="29" customFormat="false" ht="12.75" hidden="false" customHeight="false" outlineLevel="0" collapsed="false">
      <c r="A29" s="80" t="s">
        <v>23</v>
      </c>
      <c r="B29" s="81" t="s">
        <v>49</v>
      </c>
      <c r="C29" s="25" t="n">
        <v>0.385416666666667</v>
      </c>
      <c r="D29" s="26" t="n">
        <v>0.510416666666667</v>
      </c>
      <c r="E29" s="25"/>
      <c r="F29" s="27"/>
      <c r="G29" s="27"/>
      <c r="H29" s="26"/>
      <c r="I29" s="28" t="n">
        <f aca="false">D29-C29-F29+E29-H29+G29+N29+O29</f>
        <v>0.125</v>
      </c>
      <c r="J29" s="29" t="n">
        <f aca="false">R29</f>
        <v>0.166666666666667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0.166666666666667</v>
      </c>
    </row>
    <row r="30" customFormat="false" ht="12.75" hidden="false" customHeight="false" outlineLevel="0" collapsed="false">
      <c r="A30" s="80" t="s">
        <v>15</v>
      </c>
      <c r="B30" s="81" t="s">
        <v>50</v>
      </c>
      <c r="C30" s="25" t="n">
        <v>0.375</v>
      </c>
      <c r="D30" s="26" t="n">
        <v>0.5</v>
      </c>
      <c r="E30" s="25"/>
      <c r="F30" s="27"/>
      <c r="G30" s="27"/>
      <c r="H30" s="26"/>
      <c r="I30" s="28" t="n">
        <f aca="false">D30-C30-F30+E30-H30+G30+N30+O30</f>
        <v>0.125</v>
      </c>
      <c r="J30" s="29" t="n">
        <f aca="false">R30</f>
        <v>0.166666666666667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18</v>
      </c>
      <c r="B31" s="81" t="s">
        <v>51</v>
      </c>
      <c r="C31" s="25"/>
      <c r="D31" s="26"/>
      <c r="E31" s="25"/>
      <c r="F31" s="27"/>
      <c r="G31" s="27"/>
      <c r="H31" s="26"/>
      <c r="I31" s="28" t="n">
        <f aca="false">D31-C31-F31+E31-H31+G31+N31+O31</f>
        <v>0</v>
      </c>
      <c r="J31" s="29" t="n">
        <f aca="false">R31</f>
        <v>0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</v>
      </c>
    </row>
    <row r="32" customFormat="false" ht="12.75" hidden="false" customHeight="false" outlineLevel="0" collapsed="false">
      <c r="A32" s="80" t="s">
        <v>33</v>
      </c>
      <c r="B32" s="81" t="s">
        <v>52</v>
      </c>
      <c r="C32" s="25"/>
      <c r="D32" s="26"/>
      <c r="E32" s="25"/>
      <c r="F32" s="27"/>
      <c r="G32" s="27"/>
      <c r="H32" s="26"/>
      <c r="I32" s="28" t="n">
        <f aca="false">D32-C32-F32+E32-H32+G32+N32+O32</f>
        <v>0</v>
      </c>
      <c r="J32" s="29" t="n">
        <f aca="false">R32</f>
        <v>0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</v>
      </c>
    </row>
    <row r="33" customFormat="false" ht="12.75" hidden="false" customHeight="false" outlineLevel="0" collapsed="false">
      <c r="A33" s="80" t="s">
        <v>24</v>
      </c>
      <c r="B33" s="81" t="s">
        <v>53</v>
      </c>
      <c r="C33" s="25"/>
      <c r="D33" s="26"/>
      <c r="E33" s="25"/>
      <c r="F33" s="27"/>
      <c r="G33" s="27"/>
      <c r="H33" s="26"/>
      <c r="I33" s="28" t="n">
        <f aca="false">D33-C33-F33+E33-H33+G33+N33+O33</f>
        <v>0</v>
      </c>
      <c r="J33" s="29" t="n">
        <f aca="false">R33</f>
        <v>0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</v>
      </c>
    </row>
    <row r="34" customFormat="false" ht="12.75" hidden="false" customHeight="false" outlineLevel="0" collapsed="false">
      <c r="A34" s="80" t="s">
        <v>17</v>
      </c>
      <c r="B34" s="81" t="s">
        <v>54</v>
      </c>
      <c r="C34" s="25" t="n">
        <v>0.354166666666667</v>
      </c>
      <c r="D34" s="26" t="n">
        <v>0.510416666666667</v>
      </c>
      <c r="E34" s="25"/>
      <c r="F34" s="27"/>
      <c r="G34" s="27"/>
      <c r="H34" s="26"/>
      <c r="I34" s="28" t="n">
        <f aca="false">D34-C34-F34+E34-H34+G34+N34+O34</f>
        <v>0.15625</v>
      </c>
      <c r="J34" s="29" t="n">
        <f aca="false">R34</f>
        <v>0.166666666666667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0.166666666666667</v>
      </c>
    </row>
    <row r="35" customFormat="false" ht="12.75" hidden="false" customHeight="false" outlineLevel="0" collapsed="false">
      <c r="A35" s="80" t="s">
        <v>20</v>
      </c>
      <c r="B35" s="81" t="s">
        <v>55</v>
      </c>
      <c r="C35" s="25" t="n">
        <v>0.385416666666667</v>
      </c>
      <c r="D35" s="26" t="n">
        <v>0.666666666666667</v>
      </c>
      <c r="E35" s="25" t="n">
        <v>0.510416666666667</v>
      </c>
      <c r="F35" s="27" t="n">
        <v>0.53125</v>
      </c>
      <c r="G35" s="27"/>
      <c r="H35" s="26"/>
      <c r="I35" s="28" t="n">
        <f aca="false">D35-C35-F35+E35-H35+G35+N35+O35</f>
        <v>0.260416666666667</v>
      </c>
      <c r="J35" s="29" t="n">
        <f aca="false">R35</f>
        <v>0.166666666666667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0.166666666666667</v>
      </c>
    </row>
    <row r="36" customFormat="false" ht="12.75" hidden="false" customHeight="false" outlineLevel="0" collapsed="false">
      <c r="A36" s="80" t="s">
        <v>23</v>
      </c>
      <c r="B36" s="81" t="s">
        <v>56</v>
      </c>
      <c r="C36" s="25" t="n">
        <v>0.385416666666667</v>
      </c>
      <c r="D36" s="26" t="n">
        <v>0.510416666666667</v>
      </c>
      <c r="E36" s="25"/>
      <c r="F36" s="27"/>
      <c r="G36" s="27"/>
      <c r="H36" s="26"/>
      <c r="I36" s="28" t="n">
        <f aca="false">D36-C36-F36+E36-H36+G36+N36+O36</f>
        <v>0.125</v>
      </c>
      <c r="J36" s="29" t="n">
        <f aca="false">R36</f>
        <v>0.166666666666667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0.166666666666667</v>
      </c>
    </row>
    <row r="37" customFormat="false" ht="12.75" hidden="false" customHeight="false" outlineLevel="0" collapsed="false">
      <c r="A37" s="83" t="s">
        <v>15</v>
      </c>
      <c r="B37" s="84" t="s">
        <v>57</v>
      </c>
      <c r="C37" s="25" t="n">
        <v>0.375</v>
      </c>
      <c r="D37" s="26" t="n">
        <v>0.5</v>
      </c>
      <c r="E37" s="25"/>
      <c r="F37" s="27"/>
      <c r="G37" s="43"/>
      <c r="H37" s="42"/>
      <c r="I37" s="44" t="n">
        <f aca="false">D37-C37-F37+E37-H37+G37+N37+O37</f>
        <v>0.125</v>
      </c>
      <c r="J37" s="45" t="n">
        <f aca="false">R37</f>
        <v>0.166666666666667</v>
      </c>
      <c r="K37" s="43"/>
      <c r="L37" s="46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</row>
    <row r="38" customFormat="false" ht="12.75" hidden="false" customHeight="false" outlineLevel="0" collapsed="false">
      <c r="E38" s="16"/>
      <c r="F38" s="16"/>
      <c r="G38" s="16"/>
      <c r="H38" s="16"/>
      <c r="I38" s="21" t="s">
        <v>12</v>
      </c>
      <c r="J38" s="15" t="s">
        <v>13</v>
      </c>
      <c r="K38" s="4"/>
      <c r="M38" s="32"/>
      <c r="N38" s="1"/>
      <c r="R38" s="4" t="n">
        <f aca="false">IF(A38="Mo",Januar!$Q$8,IF(A38="Di",Januar!$Q$9,IF(A38="Mi",Januar!$Q$10,IF(A38="Do",Januar!$Q$11,IF(A38="Fr",Januar!$Q$12,Januar!$Q$13)))))</f>
        <v>0</v>
      </c>
    </row>
    <row r="39" customFormat="false" ht="12.75" hidden="false" customHeight="false" outlineLevel="0" collapsed="false">
      <c r="E39" s="16" t="s">
        <v>59</v>
      </c>
      <c r="F39" s="16"/>
      <c r="G39" s="16"/>
      <c r="H39" s="16"/>
      <c r="I39" s="47" t="n">
        <f aca="false">SUM(I8:I37)</f>
        <v>2.91666666666667</v>
      </c>
      <c r="J39" s="47" t="n">
        <f aca="false">SUM(J8:J37)</f>
        <v>2.94166666666667</v>
      </c>
    </row>
    <row r="40" customFormat="false" ht="12.75" hidden="false" customHeight="false" outlineLevel="0" collapsed="false">
      <c r="E40" s="16"/>
      <c r="F40" s="16"/>
      <c r="G40" s="16"/>
      <c r="H40" s="16"/>
      <c r="I40" s="47"/>
      <c r="J40" s="47"/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I39</f>
        <v>2.91666666666667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n">
        <f aca="false">März!G50</f>
        <v>0.208333333333329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str">
        <f aca="false">März!G51</f>
        <v>00:00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J39</f>
        <v>2.94166666666667</v>
      </c>
      <c r="H48" s="54"/>
      <c r="J48" s="63" t="str">
        <f aca="false">Januar!J48</f>
        <v>genommener Urlaub</v>
      </c>
      <c r="L48" s="62" t="n">
        <f aca="false">M48+März!L48+0.5*N48</f>
        <v>3</v>
      </c>
      <c r="M48" s="0" t="n">
        <f aca="false">COUNTIF($K$8:$K$37,"u")</f>
        <v>0</v>
      </c>
      <c r="N48" s="0" t="n">
        <f aca="false">COUNTIF($K$8:$K$37,"0,5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85</v>
      </c>
      <c r="G50" s="68" t="n">
        <f aca="false">IF(G43+G45-G46-G48&gt;=0,G43+G45-G46-G48,"00:00")</f>
        <v>0.183333333333326</v>
      </c>
      <c r="H50" s="54"/>
      <c r="J50" s="63" t="str">
        <f aca="false">Januar!J50</f>
        <v>Anspruch 2026</v>
      </c>
      <c r="L50" s="62" t="n">
        <f aca="false">L47-L48</f>
        <v>25</v>
      </c>
    </row>
    <row r="51" customFormat="false" ht="13.5" hidden="false" customHeight="false" outlineLevel="0" collapsed="false">
      <c r="B51" s="53"/>
      <c r="C51" s="0" t="s">
        <v>86</v>
      </c>
      <c r="F51" s="59" t="s">
        <v>66</v>
      </c>
      <c r="G51" s="69" t="str">
        <f aca="false">IF(G43+G45-G46-G48&lt;0,-1*(G43+G45-G46-G48),"00:00")</f>
        <v>00:00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87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18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v>0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</v>
      </c>
    </row>
    <row r="9" customFormat="false" ht="12.75" hidden="false" customHeight="false" outlineLevel="0" collapsed="false">
      <c r="A9" s="80" t="s">
        <v>33</v>
      </c>
      <c r="B9" s="74" t="s">
        <v>19</v>
      </c>
      <c r="C9" s="25"/>
      <c r="D9" s="26"/>
      <c r="E9" s="25"/>
      <c r="F9" s="27"/>
      <c r="G9" s="27"/>
      <c r="H9" s="26"/>
      <c r="I9" s="28" t="n">
        <f aca="false">D9-C9-F9+E9-H9+G9+N9+O9</f>
        <v>0</v>
      </c>
      <c r="J9" s="29" t="n">
        <f aca="false">R9</f>
        <v>0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</v>
      </c>
    </row>
    <row r="10" customFormat="false" ht="12.75" hidden="false" customHeight="false" outlineLevel="0" collapsed="false">
      <c r="A10" s="80" t="s">
        <v>24</v>
      </c>
      <c r="B10" s="81" t="s">
        <v>22</v>
      </c>
      <c r="C10" s="25"/>
      <c r="D10" s="26"/>
      <c r="E10" s="25"/>
      <c r="F10" s="27"/>
      <c r="G10" s="27"/>
      <c r="H10" s="26"/>
      <c r="I10" s="28" t="n">
        <f aca="false">D10-C10-F10+E10-H10+G10+N10+O10</f>
        <v>0</v>
      </c>
      <c r="J10" s="29" t="n">
        <f aca="false">R10</f>
        <v>0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</v>
      </c>
    </row>
    <row r="11" customFormat="false" ht="12.75" hidden="false" customHeight="false" outlineLevel="0" collapsed="false">
      <c r="A11" s="80" t="s">
        <v>17</v>
      </c>
      <c r="B11" s="81" t="s">
        <v>25</v>
      </c>
      <c r="C11" s="25" t="n">
        <v>0.354166666666667</v>
      </c>
      <c r="D11" s="26" t="n">
        <v>0.510416666666667</v>
      </c>
      <c r="E11" s="25"/>
      <c r="F11" s="27"/>
      <c r="G11" s="27"/>
      <c r="H11" s="26"/>
      <c r="I11" s="28" t="n">
        <f aca="false">D11-C11-F11+E11-H11+G11+N11+O11</f>
        <v>0.15625</v>
      </c>
      <c r="J11" s="29" t="n">
        <f aca="false">R11</f>
        <v>0.166666666666667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0.166666666666667</v>
      </c>
    </row>
    <row r="12" customFormat="false" ht="12.75" hidden="false" customHeight="false" outlineLevel="0" collapsed="false">
      <c r="A12" s="80" t="s">
        <v>20</v>
      </c>
      <c r="B12" s="81" t="s">
        <v>26</v>
      </c>
      <c r="C12" s="25" t="n">
        <v>0.385416666666667</v>
      </c>
      <c r="D12" s="26" t="n">
        <v>0.666666666666667</v>
      </c>
      <c r="E12" s="25" t="n">
        <v>0.510416666666667</v>
      </c>
      <c r="F12" s="27" t="n">
        <v>0.53125</v>
      </c>
      <c r="G12" s="27"/>
      <c r="H12" s="26"/>
      <c r="I12" s="28" t="n">
        <f aca="false">D12-C12-F12+E12-H12+G12+N12+O12</f>
        <v>0.260416666666667</v>
      </c>
      <c r="J12" s="29" t="n">
        <v>0.25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0.166666666666667</v>
      </c>
    </row>
    <row r="13" customFormat="false" ht="12.75" hidden="false" customHeight="false" outlineLevel="0" collapsed="false">
      <c r="A13" s="80" t="s">
        <v>23</v>
      </c>
      <c r="B13" s="81" t="s">
        <v>28</v>
      </c>
      <c r="C13" s="25" t="n">
        <v>0.385416666666667</v>
      </c>
      <c r="D13" s="26" t="n">
        <v>0.510416666666667</v>
      </c>
      <c r="E13" s="25"/>
      <c r="F13" s="27"/>
      <c r="G13" s="27"/>
      <c r="H13" s="26"/>
      <c r="I13" s="28" t="n">
        <f aca="false">D13-C13-F13+E13-H13+G13+N13+O13</f>
        <v>0.125</v>
      </c>
      <c r="J13" s="29" t="n">
        <f aca="false">R13</f>
        <v>0.166666666666667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0.166666666666667</v>
      </c>
    </row>
    <row r="14" customFormat="false" ht="12.75" hidden="false" customHeight="false" outlineLevel="0" collapsed="false">
      <c r="A14" s="80" t="s">
        <v>15</v>
      </c>
      <c r="B14" s="81" t="s">
        <v>30</v>
      </c>
      <c r="C14" s="25" t="n">
        <v>0.375</v>
      </c>
      <c r="D14" s="26" t="n">
        <v>0.5</v>
      </c>
      <c r="E14" s="25"/>
      <c r="F14" s="27"/>
      <c r="G14" s="27"/>
      <c r="H14" s="26"/>
      <c r="I14" s="28" t="n">
        <f aca="false">D14-C14-F14+E14-H14+G14+N14+O14</f>
        <v>0.125</v>
      </c>
      <c r="J14" s="29" t="n">
        <f aca="false">R14</f>
        <v>0.166666666666667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0.166666666666667</v>
      </c>
    </row>
    <row r="15" customFormat="false" ht="12.75" hidden="false" customHeight="false" outlineLevel="0" collapsed="false">
      <c r="A15" s="80" t="s">
        <v>18</v>
      </c>
      <c r="B15" s="81" t="s">
        <v>31</v>
      </c>
      <c r="C15" s="25"/>
      <c r="D15" s="26"/>
      <c r="E15" s="25"/>
      <c r="F15" s="27"/>
      <c r="G15" s="27"/>
      <c r="H15" s="26"/>
      <c r="I15" s="28" t="n">
        <f aca="false">D15-C15-F15+E15-H15+G15+N15+O15</f>
        <v>0</v>
      </c>
      <c r="J15" s="29" t="n">
        <f aca="false">R15</f>
        <v>0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</v>
      </c>
    </row>
    <row r="16" customFormat="false" ht="12.75" hidden="false" customHeight="false" outlineLevel="0" collapsed="false">
      <c r="A16" s="80" t="s">
        <v>33</v>
      </c>
      <c r="B16" s="81" t="s">
        <v>32</v>
      </c>
      <c r="C16" s="25"/>
      <c r="D16" s="26"/>
      <c r="E16" s="25"/>
      <c r="F16" s="27"/>
      <c r="G16" s="27"/>
      <c r="H16" s="26"/>
      <c r="I16" s="28" t="n">
        <f aca="false">D16-C16-F16+E16-H16+G16+N16+O16</f>
        <v>0</v>
      </c>
      <c r="J16" s="29" t="n">
        <v>0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</v>
      </c>
    </row>
    <row r="17" customFormat="false" ht="12.75" hidden="false" customHeight="false" outlineLevel="0" collapsed="false">
      <c r="A17" s="80" t="s">
        <v>24</v>
      </c>
      <c r="B17" s="81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</v>
      </c>
    </row>
    <row r="18" customFormat="false" ht="12.75" hidden="false" customHeight="false" outlineLevel="0" collapsed="false">
      <c r="A18" s="80" t="s">
        <v>17</v>
      </c>
      <c r="B18" s="81" t="s">
        <v>35</v>
      </c>
      <c r="C18" s="25" t="n">
        <v>0.354166666666667</v>
      </c>
      <c r="D18" s="26" t="n">
        <v>0.510416666666667</v>
      </c>
      <c r="E18" s="25"/>
      <c r="F18" s="27"/>
      <c r="G18" s="27"/>
      <c r="H18" s="26"/>
      <c r="I18" s="28" t="n">
        <f aca="false">D18-C18-F18+E18-H18+G18+N18+O18</f>
        <v>0.15625</v>
      </c>
      <c r="J18" s="29" t="n">
        <f aca="false">R18</f>
        <v>0.166666666666667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0.166666666666667</v>
      </c>
    </row>
    <row r="19" customFormat="false" ht="12.75" hidden="false" customHeight="false" outlineLevel="0" collapsed="false">
      <c r="A19" s="80" t="s">
        <v>20</v>
      </c>
      <c r="B19" s="81" t="s">
        <v>36</v>
      </c>
      <c r="C19" s="25" t="n">
        <v>0.385416666666667</v>
      </c>
      <c r="D19" s="26" t="n">
        <v>0.666666666666667</v>
      </c>
      <c r="E19" s="25" t="n">
        <v>0.510416666666667</v>
      </c>
      <c r="F19" s="27" t="n">
        <v>0.53125</v>
      </c>
      <c r="G19" s="27"/>
      <c r="H19" s="26"/>
      <c r="I19" s="28" t="n">
        <f aca="false">D19-C19-F19+E19-H19+G19+N19+O19</f>
        <v>0.260416666666667</v>
      </c>
      <c r="J19" s="29" t="n">
        <f aca="false">R19</f>
        <v>0.166666666666667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0.166666666666667</v>
      </c>
    </row>
    <row r="20" customFormat="false" ht="12.75" hidden="false" customHeight="false" outlineLevel="0" collapsed="false">
      <c r="A20" s="80" t="s">
        <v>23</v>
      </c>
      <c r="B20" s="81" t="s">
        <v>38</v>
      </c>
      <c r="C20" s="25" t="n">
        <v>0.385416666666667</v>
      </c>
      <c r="D20" s="26" t="n">
        <v>0.510416666666667</v>
      </c>
      <c r="E20" s="25"/>
      <c r="F20" s="27"/>
      <c r="G20" s="27"/>
      <c r="H20" s="26"/>
      <c r="I20" s="28" t="n">
        <f aca="false">D20-C20-F20+E20-H20+G20+N20+O20</f>
        <v>0.125</v>
      </c>
      <c r="J20" s="29" t="n">
        <f aca="false">R20</f>
        <v>0.166666666666667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0.166666666666667</v>
      </c>
    </row>
    <row r="21" customFormat="false" ht="12.75" hidden="false" customHeight="false" outlineLevel="0" collapsed="false">
      <c r="A21" s="80" t="s">
        <v>15</v>
      </c>
      <c r="B21" s="81" t="s">
        <v>40</v>
      </c>
      <c r="C21" s="25" t="n">
        <v>0.375</v>
      </c>
      <c r="D21" s="26" t="n">
        <v>0.5</v>
      </c>
      <c r="E21" s="25"/>
      <c r="F21" s="27"/>
      <c r="G21" s="27"/>
      <c r="H21" s="26"/>
      <c r="I21" s="28" t="n">
        <f aca="false">D21-C21-F21+E21-H21+G21+N21+O21</f>
        <v>0.125</v>
      </c>
      <c r="J21" s="29" t="n">
        <v>0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0.166666666666667</v>
      </c>
    </row>
    <row r="22" customFormat="false" ht="12.75" hidden="false" customHeight="false" outlineLevel="0" collapsed="false">
      <c r="A22" s="80" t="s">
        <v>18</v>
      </c>
      <c r="B22" s="81" t="s">
        <v>41</v>
      </c>
      <c r="C22" s="25"/>
      <c r="D22" s="26"/>
      <c r="E22" s="25"/>
      <c r="F22" s="27"/>
      <c r="G22" s="27"/>
      <c r="H22" s="26"/>
      <c r="I22" s="28" t="n">
        <f aca="false">D22-C22-F22+E22-H22+G22+N22+O22</f>
        <v>0</v>
      </c>
      <c r="J22" s="29" t="n">
        <f aca="false">R22</f>
        <v>0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</v>
      </c>
    </row>
    <row r="23" customFormat="false" ht="12.75" hidden="false" customHeight="false" outlineLevel="0" collapsed="false">
      <c r="A23" s="80" t="s">
        <v>33</v>
      </c>
      <c r="B23" s="81" t="s">
        <v>42</v>
      </c>
      <c r="C23" s="25"/>
      <c r="D23" s="26"/>
      <c r="E23" s="25"/>
      <c r="F23" s="27"/>
      <c r="G23" s="27"/>
      <c r="H23" s="26"/>
      <c r="I23" s="28" t="n">
        <f aca="false">D23-C23-F23+E23-H23+G23+N23+O23</f>
        <v>0</v>
      </c>
      <c r="J23" s="29" t="n">
        <f aca="false">R23</f>
        <v>0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</v>
      </c>
    </row>
    <row r="24" customFormat="false" ht="12.75" hidden="false" customHeight="false" outlineLevel="0" collapsed="false">
      <c r="A24" s="80" t="s">
        <v>24</v>
      </c>
      <c r="B24" s="81" t="s">
        <v>43</v>
      </c>
      <c r="C24" s="25"/>
      <c r="D24" s="26"/>
      <c r="E24" s="25"/>
      <c r="F24" s="27"/>
      <c r="G24" s="27"/>
      <c r="H24" s="26"/>
      <c r="I24" s="28" t="n">
        <f aca="false">D24-C24-F24+E24-H24+G24+N24+O24</f>
        <v>0</v>
      </c>
      <c r="J24" s="29" t="n">
        <f aca="false">R24</f>
        <v>0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</v>
      </c>
    </row>
    <row r="25" customFormat="false" ht="12.75" hidden="false" customHeight="false" outlineLevel="0" collapsed="false">
      <c r="A25" s="80" t="s">
        <v>17</v>
      </c>
      <c r="B25" s="81" t="s">
        <v>44</v>
      </c>
      <c r="C25" s="25" t="n">
        <v>0.354166666666667</v>
      </c>
      <c r="D25" s="26" t="n">
        <v>0.510416666666667</v>
      </c>
      <c r="E25" s="25"/>
      <c r="F25" s="27"/>
      <c r="G25" s="27"/>
      <c r="H25" s="26"/>
      <c r="I25" s="28" t="n">
        <f aca="false">D25-C25-F25+E25-H25+G25+N25+O25</f>
        <v>0.15625</v>
      </c>
      <c r="J25" s="29" t="n">
        <f aca="false">R25</f>
        <v>0.166666666666667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0.166666666666667</v>
      </c>
    </row>
    <row r="26" customFormat="false" ht="12.75" hidden="false" customHeight="false" outlineLevel="0" collapsed="false">
      <c r="A26" s="80" t="s">
        <v>20</v>
      </c>
      <c r="B26" s="81" t="s">
        <v>45</v>
      </c>
      <c r="C26" s="25" t="n">
        <v>0.385416666666667</v>
      </c>
      <c r="D26" s="26" t="n">
        <v>0.666666666666667</v>
      </c>
      <c r="E26" s="25" t="n">
        <v>0.510416666666667</v>
      </c>
      <c r="F26" s="27" t="n">
        <v>0.53125</v>
      </c>
      <c r="G26" s="27"/>
      <c r="H26" s="26"/>
      <c r="I26" s="28" t="n">
        <f aca="false">D26-C26-F26+E26-H26+G26+N26+O26</f>
        <v>0.260416666666667</v>
      </c>
      <c r="J26" s="29" t="n">
        <f aca="false">R26</f>
        <v>0.166666666666667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0.166666666666667</v>
      </c>
    </row>
    <row r="27" customFormat="false" ht="12.75" hidden="false" customHeight="false" outlineLevel="0" collapsed="false">
      <c r="A27" s="80" t="s">
        <v>23</v>
      </c>
      <c r="B27" s="81" t="s">
        <v>47</v>
      </c>
      <c r="C27" s="25" t="n">
        <v>0.385416666666667</v>
      </c>
      <c r="D27" s="26" t="n">
        <v>0.510416666666667</v>
      </c>
      <c r="E27" s="25"/>
      <c r="F27" s="27"/>
      <c r="G27" s="27"/>
      <c r="H27" s="26"/>
      <c r="I27" s="28" t="n">
        <f aca="false">D27-C27-F27+E27-H27+G27+N27+O27</f>
        <v>0.125</v>
      </c>
      <c r="J27" s="29" t="n">
        <f aca="false">R27</f>
        <v>0.166666666666667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0.166666666666667</v>
      </c>
    </row>
    <row r="28" customFormat="false" ht="12.75" hidden="false" customHeight="false" outlineLevel="0" collapsed="false">
      <c r="A28" s="80" t="s">
        <v>15</v>
      </c>
      <c r="B28" s="81" t="s">
        <v>48</v>
      </c>
      <c r="C28" s="25" t="n">
        <v>0.375</v>
      </c>
      <c r="D28" s="26" t="n">
        <v>0.5</v>
      </c>
      <c r="E28" s="25"/>
      <c r="F28" s="27"/>
      <c r="G28" s="27"/>
      <c r="H28" s="26"/>
      <c r="I28" s="28" t="n">
        <f aca="false">D28-C28-F28+E28-H28+G28+N28+O28</f>
        <v>0.125</v>
      </c>
      <c r="J28" s="29" t="n">
        <f aca="false">R28</f>
        <v>0.166666666666667</v>
      </c>
      <c r="K28" s="4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0.166666666666667</v>
      </c>
    </row>
    <row r="29" customFormat="false" ht="12.75" hidden="false" customHeight="false" outlineLevel="0" collapsed="false">
      <c r="A29" s="80" t="s">
        <v>18</v>
      </c>
      <c r="B29" s="81" t="s">
        <v>49</v>
      </c>
      <c r="C29" s="25"/>
      <c r="D29" s="26"/>
      <c r="E29" s="25"/>
      <c r="F29" s="27"/>
      <c r="G29" s="27"/>
      <c r="H29" s="26"/>
      <c r="I29" s="28" t="n">
        <f aca="false">D29-C29-F29+E29-H29+G29+N29+O29</f>
        <v>0</v>
      </c>
      <c r="J29" s="29" t="n">
        <f aca="false">R29</f>
        <v>0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</v>
      </c>
    </row>
    <row r="30" customFormat="false" ht="12.75" hidden="false" customHeight="false" outlineLevel="0" collapsed="false">
      <c r="A30" s="80" t="s">
        <v>33</v>
      </c>
      <c r="B30" s="81" t="s">
        <v>50</v>
      </c>
      <c r="C30" s="25"/>
      <c r="D30" s="26"/>
      <c r="E30" s="25"/>
      <c r="F30" s="27"/>
      <c r="G30" s="27"/>
      <c r="H30" s="26"/>
      <c r="I30" s="28" t="n">
        <f aca="false">D30-C30-F30+E30-H30+G30+N30+O30</f>
        <v>0</v>
      </c>
      <c r="J30" s="29" t="n">
        <f aca="false">R30</f>
        <v>0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</v>
      </c>
    </row>
    <row r="31" customFormat="false" ht="12.75" hidden="false" customHeight="false" outlineLevel="0" collapsed="false">
      <c r="A31" s="80" t="s">
        <v>24</v>
      </c>
      <c r="B31" s="81" t="s">
        <v>51</v>
      </c>
      <c r="C31" s="25"/>
      <c r="D31" s="26"/>
      <c r="E31" s="25"/>
      <c r="F31" s="27"/>
      <c r="G31" s="27"/>
      <c r="H31" s="26"/>
      <c r="I31" s="28" t="n">
        <f aca="false">D31-C31-F31+E31-H31+G31+N31+O31</f>
        <v>0</v>
      </c>
      <c r="J31" s="29" t="n">
        <f aca="false">R31</f>
        <v>0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</v>
      </c>
    </row>
    <row r="32" customFormat="false" ht="12.75" hidden="false" customHeight="false" outlineLevel="0" collapsed="false">
      <c r="A32" s="80" t="s">
        <v>17</v>
      </c>
      <c r="B32" s="81" t="s">
        <v>52</v>
      </c>
      <c r="C32" s="25" t="n">
        <v>0.354166666666667</v>
      </c>
      <c r="D32" s="26" t="n">
        <v>0.510416666666667</v>
      </c>
      <c r="E32" s="25"/>
      <c r="F32" s="27"/>
      <c r="G32" s="27"/>
      <c r="H32" s="26"/>
      <c r="I32" s="28" t="n">
        <f aca="false">D32-C32-F32+E32-H32+G32+N32+O32</f>
        <v>0.15625</v>
      </c>
      <c r="J32" s="29" t="n">
        <v>0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0.166666666666667</v>
      </c>
    </row>
    <row r="33" customFormat="false" ht="12.75" hidden="false" customHeight="false" outlineLevel="0" collapsed="false">
      <c r="A33" s="80" t="s">
        <v>20</v>
      </c>
      <c r="B33" s="81" t="s">
        <v>53</v>
      </c>
      <c r="C33" s="25" t="n">
        <v>0.385416666666667</v>
      </c>
      <c r="D33" s="26" t="n">
        <v>0.666666666666667</v>
      </c>
      <c r="E33" s="25" t="n">
        <v>0.510416666666667</v>
      </c>
      <c r="F33" s="27" t="n">
        <v>0.53125</v>
      </c>
      <c r="G33" s="27"/>
      <c r="H33" s="26"/>
      <c r="I33" s="28" t="n">
        <f aca="false">D33-C33-F33+E33-H33+G33+N33+O33</f>
        <v>0.260416666666667</v>
      </c>
      <c r="J33" s="29" t="n">
        <f aca="false">R33</f>
        <v>0.166666666666667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0.166666666666667</v>
      </c>
    </row>
    <row r="34" customFormat="false" ht="12.75" hidden="false" customHeight="false" outlineLevel="0" collapsed="false">
      <c r="A34" s="80" t="s">
        <v>23</v>
      </c>
      <c r="B34" s="81" t="s">
        <v>54</v>
      </c>
      <c r="C34" s="25" t="n">
        <v>0.385416666666667</v>
      </c>
      <c r="D34" s="26" t="n">
        <v>0.510416666666667</v>
      </c>
      <c r="E34" s="25"/>
      <c r="F34" s="27"/>
      <c r="G34" s="27"/>
      <c r="H34" s="26"/>
      <c r="I34" s="28" t="n">
        <f aca="false">D34-C34-F34+E34-H34+G34+N34+O34</f>
        <v>0.125</v>
      </c>
      <c r="J34" s="29" t="n">
        <f aca="false">R34</f>
        <v>0.166666666666667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0.166666666666667</v>
      </c>
    </row>
    <row r="35" customFormat="false" ht="12.75" hidden="false" customHeight="false" outlineLevel="0" collapsed="false">
      <c r="A35" s="80" t="s">
        <v>15</v>
      </c>
      <c r="B35" s="81" t="s">
        <v>55</v>
      </c>
      <c r="C35" s="25" t="n">
        <v>0.375</v>
      </c>
      <c r="D35" s="26" t="n">
        <v>0.5</v>
      </c>
      <c r="E35" s="25"/>
      <c r="F35" s="27"/>
      <c r="G35" s="27"/>
      <c r="H35" s="26"/>
      <c r="I35" s="28" t="n">
        <f aca="false">D35-C35-F35+E35-H35+G35+N35+O35</f>
        <v>0.125</v>
      </c>
      <c r="J35" s="29" t="n">
        <f aca="false">R35</f>
        <v>0.166666666666667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0.166666666666667</v>
      </c>
    </row>
    <row r="36" customFormat="false" ht="12.75" hidden="false" customHeight="false" outlineLevel="0" collapsed="false">
      <c r="A36" s="80" t="s">
        <v>18</v>
      </c>
      <c r="B36" s="81" t="s">
        <v>56</v>
      </c>
      <c r="C36" s="25"/>
      <c r="D36" s="26"/>
      <c r="E36" s="25"/>
      <c r="F36" s="27"/>
      <c r="G36" s="27"/>
      <c r="H36" s="26"/>
      <c r="I36" s="28" t="n">
        <f aca="false">D36-C36-F36+E36-H36+G36+N36+O36</f>
        <v>0</v>
      </c>
      <c r="J36" s="29" t="n">
        <f aca="false">R36</f>
        <v>0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</v>
      </c>
    </row>
    <row r="37" customFormat="false" ht="12.75" hidden="false" customHeight="false" outlineLevel="0" collapsed="false">
      <c r="A37" s="80" t="s">
        <v>33</v>
      </c>
      <c r="B37" s="81" t="s">
        <v>57</v>
      </c>
      <c r="C37" s="25"/>
      <c r="D37" s="26"/>
      <c r="E37" s="25"/>
      <c r="F37" s="27"/>
      <c r="G37" s="27"/>
      <c r="H37" s="26"/>
      <c r="I37" s="28" t="n">
        <f aca="false">D37-C37-F37+E37-H37+G37+N37+O37</f>
        <v>0</v>
      </c>
      <c r="J37" s="29" t="n">
        <f aca="false">R37</f>
        <v>0</v>
      </c>
      <c r="K37" s="25"/>
      <c r="L37" s="31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</v>
      </c>
    </row>
    <row r="38" customFormat="false" ht="12.75" hidden="false" customHeight="false" outlineLevel="0" collapsed="false">
      <c r="A38" s="83" t="s">
        <v>24</v>
      </c>
      <c r="B38" s="84" t="s">
        <v>58</v>
      </c>
      <c r="C38" s="41"/>
      <c r="D38" s="42"/>
      <c r="E38" s="41"/>
      <c r="F38" s="43"/>
      <c r="G38" s="43"/>
      <c r="H38" s="42"/>
      <c r="I38" s="44" t="n">
        <f aca="false">D38-C38-F38+E38-H38+G38+N38+O38</f>
        <v>0</v>
      </c>
      <c r="J38" s="45" t="n">
        <f aca="false">R38</f>
        <v>0</v>
      </c>
      <c r="K38" s="41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IF(A38="Mo",Januar!$Q$8,IF(A38="Di",Januar!$Q$9,IF(A38="Mi",Januar!$Q$10,IF(A38="Do",Januar!$Q$11,IF(A38="Fr",Januar!$Q$12,Januar!$Q$13)))))</f>
        <v>0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2.66666666666667</v>
      </c>
      <c r="J40" s="47" t="n">
        <f aca="false">SUM(J8:J38)</f>
        <v>2.41666666666667</v>
      </c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2.66666666666667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n">
        <f aca="false">April!G50</f>
        <v>0.183333333333326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str">
        <f aca="false">April!G51</f>
        <v>00:00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2.41666666666667</v>
      </c>
      <c r="H48" s="54"/>
      <c r="J48" s="63" t="str">
        <f aca="false">Januar!J48</f>
        <v>genommener Urlaub</v>
      </c>
      <c r="L48" s="62" t="n">
        <f aca="false">M48+April!L48+0.5*N48</f>
        <v>3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88</v>
      </c>
      <c r="G50" s="68" t="n">
        <f aca="false">IF(G43+G45-G46-G48&gt;=0,G43+G45-G46-G48,"00:00")</f>
        <v>0.433333333333323</v>
      </c>
      <c r="H50" s="54"/>
      <c r="J50" s="63" t="str">
        <f aca="false">Januar!J50</f>
        <v>Anspruch 2026</v>
      </c>
      <c r="L50" s="62" t="n">
        <f aca="false">L47-L48</f>
        <v>25</v>
      </c>
    </row>
    <row r="51" customFormat="false" ht="13.5" hidden="false" customHeight="false" outlineLevel="0" collapsed="false">
      <c r="B51" s="53"/>
      <c r="C51" s="0" t="s">
        <v>89</v>
      </c>
      <c r="F51" s="59" t="s">
        <v>66</v>
      </c>
      <c r="G51" s="69" t="str">
        <f aca="false">IF(G43+G45-G46-G48&lt;0,-1*(G43+G45-G46-G48),"00:00")</f>
        <v>00:00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C29" activeCellId="0" sqref="C29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90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17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f aca="false">R8</f>
        <v>0.166666666666667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0.166666666666667</v>
      </c>
    </row>
    <row r="9" customFormat="false" ht="12.75" hidden="false" customHeight="false" outlineLevel="0" collapsed="false">
      <c r="A9" s="80" t="s">
        <v>20</v>
      </c>
      <c r="B9" s="74" t="s">
        <v>19</v>
      </c>
      <c r="C9" s="25"/>
      <c r="D9" s="26"/>
      <c r="E9" s="25"/>
      <c r="F9" s="27"/>
      <c r="G9" s="27"/>
      <c r="H9" s="26"/>
      <c r="I9" s="28" t="n">
        <f aca="false">D9-C9-F9+E9-H9+G9+N9+O9</f>
        <v>0</v>
      </c>
      <c r="J9" s="29" t="n">
        <f aca="false">R9</f>
        <v>0.166666666666667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23</v>
      </c>
      <c r="B10" s="81" t="s">
        <v>22</v>
      </c>
      <c r="C10" s="25"/>
      <c r="D10" s="26"/>
      <c r="E10" s="25"/>
      <c r="F10" s="27"/>
      <c r="G10" s="27"/>
      <c r="H10" s="26"/>
      <c r="I10" s="28" t="n">
        <f aca="false">D10-C10-F10+E10-H10+G10+N10+O10</f>
        <v>0</v>
      </c>
      <c r="J10" s="29" t="n">
        <f aca="false">R10</f>
        <v>0.166666666666667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0.166666666666667</v>
      </c>
    </row>
    <row r="11" customFormat="false" ht="12.75" hidden="false" customHeight="false" outlineLevel="0" collapsed="false">
      <c r="A11" s="80" t="s">
        <v>15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v>0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0.166666666666667</v>
      </c>
    </row>
    <row r="12" customFormat="false" ht="12.75" hidden="false" customHeight="false" outlineLevel="0" collapsed="false">
      <c r="A12" s="80" t="s">
        <v>18</v>
      </c>
      <c r="B12" s="81" t="s">
        <v>26</v>
      </c>
      <c r="C12" s="25"/>
      <c r="D12" s="26"/>
      <c r="E12" s="25"/>
      <c r="F12" s="27"/>
      <c r="G12" s="27"/>
      <c r="H12" s="26"/>
      <c r="I12" s="28" t="n">
        <f aca="false">D12-C12-F12+E12-H12+G12+N12+O12</f>
        <v>0</v>
      </c>
      <c r="J12" s="29" t="n">
        <f aca="false">R12</f>
        <v>0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</v>
      </c>
    </row>
    <row r="13" customFormat="false" ht="12.75" hidden="false" customHeight="false" outlineLevel="0" collapsed="false">
      <c r="A13" s="80" t="s">
        <v>33</v>
      </c>
      <c r="B13" s="81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</v>
      </c>
      <c r="J13" s="29" t="n">
        <f aca="false">R13</f>
        <v>0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</v>
      </c>
    </row>
    <row r="14" customFormat="false" ht="12.75" hidden="false" customHeight="false" outlineLevel="0" collapsed="false">
      <c r="A14" s="80" t="s">
        <v>24</v>
      </c>
      <c r="B14" s="81" t="s">
        <v>30</v>
      </c>
      <c r="C14" s="25"/>
      <c r="D14" s="26"/>
      <c r="E14" s="25"/>
      <c r="F14" s="27"/>
      <c r="G14" s="27"/>
      <c r="H14" s="26"/>
      <c r="I14" s="28" t="n">
        <f aca="false">D14-C14-F14+E14-H14+G14+N14+O14</f>
        <v>0</v>
      </c>
      <c r="J14" s="29" t="n">
        <f aca="false">R14</f>
        <v>0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</v>
      </c>
    </row>
    <row r="15" customFormat="false" ht="12.75" hidden="false" customHeight="false" outlineLevel="0" collapsed="false">
      <c r="A15" s="80" t="s">
        <v>17</v>
      </c>
      <c r="B15" s="81" t="s">
        <v>31</v>
      </c>
      <c r="C15" s="25"/>
      <c r="D15" s="26"/>
      <c r="E15" s="25"/>
      <c r="F15" s="27"/>
      <c r="G15" s="27"/>
      <c r="H15" s="26"/>
      <c r="I15" s="28" t="n">
        <f aca="false">D15-C15-F15+E15-H15+G15+N15+O15</f>
        <v>0</v>
      </c>
      <c r="J15" s="29" t="n">
        <f aca="false">R15</f>
        <v>0.166666666666667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0.166666666666667</v>
      </c>
    </row>
    <row r="16" customFormat="false" ht="12.75" hidden="false" customHeight="false" outlineLevel="0" collapsed="false">
      <c r="A16" s="80" t="s">
        <v>20</v>
      </c>
      <c r="B16" s="81" t="s">
        <v>32</v>
      </c>
      <c r="C16" s="25"/>
      <c r="D16" s="26"/>
      <c r="E16" s="25"/>
      <c r="F16" s="27"/>
      <c r="G16" s="27"/>
      <c r="H16" s="26"/>
      <c r="I16" s="28" t="n">
        <f aca="false">D16-C16-F16+E16-H16+G16+N16+O16</f>
        <v>0</v>
      </c>
      <c r="J16" s="29" t="n">
        <v>0.166666666666667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23</v>
      </c>
      <c r="B17" s="81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0.166666666666667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80" t="s">
        <v>15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0.166666666666667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0.166666666666667</v>
      </c>
    </row>
    <row r="19" customFormat="false" ht="12.75" hidden="false" customHeight="false" outlineLevel="0" collapsed="false">
      <c r="A19" s="80" t="s">
        <v>18</v>
      </c>
      <c r="B19" s="81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</v>
      </c>
      <c r="J19" s="29" t="n">
        <f aca="false">R19</f>
        <v>0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</v>
      </c>
    </row>
    <row r="20" customFormat="false" ht="12.75" hidden="false" customHeight="false" outlineLevel="0" collapsed="false">
      <c r="A20" s="80" t="s">
        <v>33</v>
      </c>
      <c r="B20" s="81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</v>
      </c>
    </row>
    <row r="21" customFormat="false" ht="12.75" hidden="false" customHeight="false" outlineLevel="0" collapsed="false">
      <c r="A21" s="80" t="s">
        <v>24</v>
      </c>
      <c r="B21" s="81" t="s">
        <v>40</v>
      </c>
      <c r="C21" s="25"/>
      <c r="D21" s="26"/>
      <c r="E21" s="25"/>
      <c r="F21" s="27"/>
      <c r="G21" s="27"/>
      <c r="H21" s="26"/>
      <c r="I21" s="28" t="n">
        <f aca="false">D21-C21-F21+E21-H21+G21+N21+O21</f>
        <v>0</v>
      </c>
      <c r="J21" s="29" t="n">
        <f aca="false">R21</f>
        <v>0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</v>
      </c>
    </row>
    <row r="22" customFormat="false" ht="12.75" hidden="false" customHeight="false" outlineLevel="0" collapsed="false">
      <c r="A22" s="80" t="s">
        <v>17</v>
      </c>
      <c r="B22" s="81" t="s">
        <v>41</v>
      </c>
      <c r="C22" s="25" t="n">
        <v>0.354166666666667</v>
      </c>
      <c r="D22" s="26" t="n">
        <v>0.510416666666667</v>
      </c>
      <c r="E22" s="25"/>
      <c r="F22" s="27"/>
      <c r="G22" s="27"/>
      <c r="H22" s="26"/>
      <c r="I22" s="28" t="n">
        <f aca="false">D22-C22-F22+E22-H22+G22+N22+O22</f>
        <v>0.15625</v>
      </c>
      <c r="J22" s="29" t="n">
        <f aca="false">R22</f>
        <v>0.166666666666667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0.166666666666667</v>
      </c>
    </row>
    <row r="23" customFormat="false" ht="12.75" hidden="false" customHeight="false" outlineLevel="0" collapsed="false">
      <c r="A23" s="80" t="s">
        <v>20</v>
      </c>
      <c r="B23" s="81" t="s">
        <v>42</v>
      </c>
      <c r="C23" s="25" t="n">
        <v>0.385416666666667</v>
      </c>
      <c r="D23" s="26" t="n">
        <v>0.666666666666667</v>
      </c>
      <c r="E23" s="25" t="n">
        <v>0.510416666666667</v>
      </c>
      <c r="F23" s="27" t="n">
        <v>0.53125</v>
      </c>
      <c r="G23" s="27"/>
      <c r="H23" s="26"/>
      <c r="I23" s="28" t="n">
        <f aca="false">D23-C23-F23+E23-H23+G23+N23+O23</f>
        <v>0.260416666666667</v>
      </c>
      <c r="J23" s="29" t="n">
        <f aca="false">R23</f>
        <v>0.166666666666667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23</v>
      </c>
      <c r="B24" s="81" t="s">
        <v>43</v>
      </c>
      <c r="C24" s="25" t="n">
        <v>0.385416666666667</v>
      </c>
      <c r="D24" s="26" t="n">
        <v>0.510416666666667</v>
      </c>
      <c r="E24" s="25"/>
      <c r="F24" s="27"/>
      <c r="G24" s="27"/>
      <c r="H24" s="26"/>
      <c r="I24" s="28" t="n">
        <f aca="false">D24-C24-F24+E24-H24+G24+N24+O24</f>
        <v>0.125</v>
      </c>
      <c r="J24" s="29" t="n">
        <f aca="false">R24</f>
        <v>0.166666666666667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80" t="s">
        <v>15</v>
      </c>
      <c r="B25" s="81" t="s">
        <v>44</v>
      </c>
      <c r="C25" s="25" t="n">
        <v>0.375</v>
      </c>
      <c r="D25" s="26" t="n">
        <v>0.5</v>
      </c>
      <c r="E25" s="25"/>
      <c r="F25" s="27"/>
      <c r="G25" s="27"/>
      <c r="H25" s="26"/>
      <c r="I25" s="28" t="n">
        <f aca="false">D25-C25-F25+E25-H25+G25+N25+O25</f>
        <v>0.125</v>
      </c>
      <c r="J25" s="29" t="n">
        <f aca="false">R25</f>
        <v>0.166666666666667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0.166666666666667</v>
      </c>
    </row>
    <row r="26" customFormat="false" ht="12.75" hidden="false" customHeight="false" outlineLevel="0" collapsed="false">
      <c r="A26" s="80" t="s">
        <v>18</v>
      </c>
      <c r="B26" s="81" t="s">
        <v>45</v>
      </c>
      <c r="C26" s="25"/>
      <c r="D26" s="26"/>
      <c r="E26" s="25"/>
      <c r="F26" s="27"/>
      <c r="G26" s="27"/>
      <c r="H26" s="26"/>
      <c r="I26" s="28" t="n">
        <f aca="false">D26-C26-F26+E26-H26+G26+N26+O26</f>
        <v>0</v>
      </c>
      <c r="J26" s="29" t="n">
        <f aca="false">R26</f>
        <v>0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</v>
      </c>
    </row>
    <row r="27" customFormat="false" ht="12.75" hidden="false" customHeight="false" outlineLevel="0" collapsed="false">
      <c r="A27" s="80" t="s">
        <v>33</v>
      </c>
      <c r="B27" s="81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</v>
      </c>
    </row>
    <row r="28" customFormat="false" ht="12.75" hidden="false" customHeight="false" outlineLevel="0" collapsed="false">
      <c r="A28" s="80" t="s">
        <v>24</v>
      </c>
      <c r="B28" s="81" t="s">
        <v>48</v>
      </c>
      <c r="C28" s="25"/>
      <c r="D28" s="26"/>
      <c r="E28" s="25"/>
      <c r="F28" s="27"/>
      <c r="G28" s="27"/>
      <c r="H28" s="26"/>
      <c r="I28" s="28" t="n">
        <f aca="false">D28-C28-F28+E28-H28+G28+N28+O28</f>
        <v>0</v>
      </c>
      <c r="J28" s="29" t="n">
        <f aca="false">R28</f>
        <v>0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</v>
      </c>
    </row>
    <row r="29" customFormat="false" ht="12.75" hidden="false" customHeight="false" outlineLevel="0" collapsed="false">
      <c r="A29" s="80" t="s">
        <v>17</v>
      </c>
      <c r="B29" s="81" t="s">
        <v>49</v>
      </c>
      <c r="C29" s="25" t="n">
        <v>0.354166666666667</v>
      </c>
      <c r="D29" s="26" t="n">
        <v>0.510416666666667</v>
      </c>
      <c r="E29" s="25"/>
      <c r="F29" s="27"/>
      <c r="G29" s="27"/>
      <c r="H29" s="26"/>
      <c r="I29" s="28" t="n">
        <f aca="false">D29-C29-F29+E29-H29+G29+N29+O29</f>
        <v>0.15625</v>
      </c>
      <c r="J29" s="29" t="n">
        <f aca="false">R29</f>
        <v>0.166666666666667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0.166666666666667</v>
      </c>
    </row>
    <row r="30" customFormat="false" ht="12.75" hidden="false" customHeight="false" outlineLevel="0" collapsed="false">
      <c r="A30" s="80" t="s">
        <v>20</v>
      </c>
      <c r="B30" s="81" t="s">
        <v>50</v>
      </c>
      <c r="C30" s="25" t="n">
        <v>0.385416666666667</v>
      </c>
      <c r="D30" s="26" t="n">
        <v>0.666666666666667</v>
      </c>
      <c r="E30" s="25" t="n">
        <v>0.510416666666667</v>
      </c>
      <c r="F30" s="27" t="n">
        <v>0.53125</v>
      </c>
      <c r="G30" s="27"/>
      <c r="H30" s="26"/>
      <c r="I30" s="28" t="n">
        <f aca="false">D30-C30-F30+E30-H30+G30+N30+O30</f>
        <v>0.260416666666667</v>
      </c>
      <c r="J30" s="29" t="n">
        <f aca="false">R30</f>
        <v>0.166666666666667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23</v>
      </c>
      <c r="B31" s="81" t="s">
        <v>51</v>
      </c>
      <c r="C31" s="25" t="n">
        <v>0.385416666666667</v>
      </c>
      <c r="D31" s="26" t="n">
        <v>0.510416666666667</v>
      </c>
      <c r="E31" s="25"/>
      <c r="F31" s="27"/>
      <c r="G31" s="27"/>
      <c r="H31" s="26"/>
      <c r="I31" s="28" t="n">
        <f aca="false">D31-C31-F31+E31-H31+G31+N31+O31</f>
        <v>0.125</v>
      </c>
      <c r="J31" s="29" t="n">
        <f aca="false">R31</f>
        <v>0.166666666666667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80" t="s">
        <v>15</v>
      </c>
      <c r="B32" s="81" t="s">
        <v>52</v>
      </c>
      <c r="C32" s="25" t="n">
        <v>0.375</v>
      </c>
      <c r="D32" s="26" t="n">
        <v>0.5</v>
      </c>
      <c r="E32" s="25"/>
      <c r="F32" s="27"/>
      <c r="G32" s="27"/>
      <c r="H32" s="26"/>
      <c r="I32" s="28" t="n">
        <f aca="false">D32-C32-F32+E32-H32+G32+N32+O32</f>
        <v>0.125</v>
      </c>
      <c r="J32" s="29" t="n">
        <f aca="false">R32</f>
        <v>0.166666666666667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0.166666666666667</v>
      </c>
    </row>
    <row r="33" customFormat="false" ht="12.75" hidden="false" customHeight="false" outlineLevel="0" collapsed="false">
      <c r="A33" s="80" t="s">
        <v>18</v>
      </c>
      <c r="B33" s="81" t="s">
        <v>53</v>
      </c>
      <c r="C33" s="25"/>
      <c r="D33" s="26"/>
      <c r="E33" s="25"/>
      <c r="F33" s="27"/>
      <c r="G33" s="27"/>
      <c r="H33" s="26"/>
      <c r="I33" s="28" t="n">
        <f aca="false">D33-C33-F33+E33-H33+G33+N33+O33</f>
        <v>0</v>
      </c>
      <c r="J33" s="29" t="n">
        <f aca="false">R33</f>
        <v>0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</v>
      </c>
    </row>
    <row r="34" customFormat="false" ht="12.75" hidden="false" customHeight="false" outlineLevel="0" collapsed="false">
      <c r="A34" s="80" t="s">
        <v>33</v>
      </c>
      <c r="B34" s="81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</v>
      </c>
      <c r="J34" s="29" t="n">
        <f aca="false">R34</f>
        <v>0</v>
      </c>
      <c r="K34" s="30" t="s">
        <v>46</v>
      </c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</v>
      </c>
    </row>
    <row r="35" customFormat="false" ht="12.75" hidden="false" customHeight="false" outlineLevel="0" collapsed="false">
      <c r="A35" s="80" t="s">
        <v>24</v>
      </c>
      <c r="B35" s="81" t="s">
        <v>55</v>
      </c>
      <c r="C35" s="25"/>
      <c r="D35" s="26"/>
      <c r="E35" s="25"/>
      <c r="F35" s="27"/>
      <c r="G35" s="27"/>
      <c r="H35" s="26"/>
      <c r="I35" s="28" t="n">
        <f aca="false">D35-C35-F35+E35-H35+G35+N35+O35</f>
        <v>0</v>
      </c>
      <c r="J35" s="29" t="n">
        <f aca="false">R35</f>
        <v>0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</v>
      </c>
    </row>
    <row r="36" customFormat="false" ht="12.75" hidden="false" customHeight="false" outlineLevel="0" collapsed="false">
      <c r="A36" s="80" t="s">
        <v>17</v>
      </c>
      <c r="B36" s="81" t="s">
        <v>56</v>
      </c>
      <c r="C36" s="25" t="n">
        <v>0.354166666666667</v>
      </c>
      <c r="D36" s="26" t="n">
        <v>0.510416666666667</v>
      </c>
      <c r="E36" s="25"/>
      <c r="F36" s="27"/>
      <c r="G36" s="27"/>
      <c r="H36" s="26"/>
      <c r="I36" s="28" t="n">
        <f aca="false">D36-C36-F36+E36-H36+G36+N36+O36</f>
        <v>0.15625</v>
      </c>
      <c r="J36" s="29" t="n">
        <f aca="false">R36</f>
        <v>0.166666666666667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0.166666666666667</v>
      </c>
    </row>
    <row r="37" customFormat="false" ht="12.75" hidden="false" customHeight="false" outlineLevel="0" collapsed="false">
      <c r="A37" s="83" t="s">
        <v>20</v>
      </c>
      <c r="B37" s="84" t="s">
        <v>57</v>
      </c>
      <c r="C37" s="25" t="n">
        <v>0.385416666666667</v>
      </c>
      <c r="D37" s="26" t="n">
        <v>0.666666666666667</v>
      </c>
      <c r="E37" s="25" t="n">
        <v>0.510416666666667</v>
      </c>
      <c r="F37" s="27" t="n">
        <v>0.53125</v>
      </c>
      <c r="G37" s="43"/>
      <c r="H37" s="42"/>
      <c r="I37" s="44" t="n">
        <f aca="false">D37-C37-F37+E37-H37+G37+N37+O37</f>
        <v>0.260416666666667</v>
      </c>
      <c r="J37" s="45" t="n">
        <f aca="false">R37</f>
        <v>0.166666666666667</v>
      </c>
      <c r="K37" s="43"/>
      <c r="L37" s="46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</row>
    <row r="38" customFormat="false" ht="12.75" hidden="false" customHeight="false" outlineLevel="0" collapsed="false">
      <c r="E38" s="16"/>
      <c r="F38" s="16"/>
      <c r="G38" s="16"/>
      <c r="H38" s="16"/>
      <c r="I38" s="21" t="s">
        <v>12</v>
      </c>
      <c r="J38" s="15" t="s">
        <v>13</v>
      </c>
      <c r="K38" s="4"/>
      <c r="M38" s="32"/>
      <c r="N38" s="1"/>
      <c r="R38" s="4" t="n">
        <f aca="false">IF(A38="Mo",Januar!$Q$8,IF(A38="Di",Januar!$Q$9,IF(A38="Mi",Januar!$Q$10,IF(A38="Do",Januar!$Q$11,IF(A38="Fr",Januar!$Q$12,Januar!$Q$13)))))</f>
        <v>0</v>
      </c>
    </row>
    <row r="39" customFormat="false" ht="12.75" hidden="false" customHeight="false" outlineLevel="0" collapsed="false">
      <c r="E39" s="16" t="s">
        <v>59</v>
      </c>
      <c r="F39" s="16"/>
      <c r="G39" s="16"/>
      <c r="H39" s="16"/>
      <c r="I39" s="47" t="n">
        <f aca="false">SUM(I8:I37)</f>
        <v>1.75</v>
      </c>
      <c r="J39" s="47" t="n">
        <f aca="false">SUM(J8:J37)</f>
        <v>2.83333333333334</v>
      </c>
    </row>
    <row r="40" customFormat="false" ht="12.75" hidden="false" customHeight="false" outlineLevel="0" collapsed="false">
      <c r="E40" s="16"/>
      <c r="F40" s="16"/>
      <c r="G40" s="16"/>
      <c r="H40" s="16"/>
      <c r="I40" s="47"/>
      <c r="J40" s="47"/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I39</f>
        <v>1.75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n">
        <f aca="false">Mai!G50</f>
        <v>0.433333333333323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str">
        <f aca="false">Mai!G51</f>
        <v>00:00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J39</f>
        <v>2.83333333333334</v>
      </c>
      <c r="H48" s="54"/>
      <c r="J48" s="63" t="str">
        <f aca="false">Januar!J48</f>
        <v>genommener Urlaub</v>
      </c>
      <c r="L48" s="62" t="n">
        <f aca="false">M48+Mai!L48+0.5*N48</f>
        <v>3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91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25</v>
      </c>
    </row>
    <row r="51" customFormat="false" ht="13.5" hidden="false" customHeight="false" outlineLevel="0" collapsed="false">
      <c r="B51" s="53"/>
      <c r="C51" s="0" t="s">
        <v>92</v>
      </c>
      <c r="F51" s="59" t="s">
        <v>66</v>
      </c>
      <c r="G51" s="69" t="n">
        <f aca="false">IF(G43+G45-G46-G48&lt;0,-1*(G43+G45-G46-G48),"00:00")</f>
        <v>0.650000000000015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F32" activeCellId="0" sqref="F32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93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23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f aca="false">R8</f>
        <v>0.166666666666667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0.166666666666667</v>
      </c>
    </row>
    <row r="9" customFormat="false" ht="12.75" hidden="false" customHeight="false" outlineLevel="0" collapsed="false">
      <c r="A9" s="80" t="s">
        <v>15</v>
      </c>
      <c r="B9" s="74" t="s">
        <v>19</v>
      </c>
      <c r="C9" s="25"/>
      <c r="D9" s="26"/>
      <c r="E9" s="25"/>
      <c r="F9" s="27"/>
      <c r="G9" s="27"/>
      <c r="H9" s="26"/>
      <c r="I9" s="28" t="n">
        <f aca="false">D9-C9-F9+E9-H9+G9+N9+O9</f>
        <v>0</v>
      </c>
      <c r="J9" s="29" t="n">
        <f aca="false">R9</f>
        <v>0.166666666666667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18</v>
      </c>
      <c r="B10" s="81" t="s">
        <v>22</v>
      </c>
      <c r="C10" s="25"/>
      <c r="D10" s="26"/>
      <c r="E10" s="25"/>
      <c r="F10" s="27"/>
      <c r="G10" s="27"/>
      <c r="H10" s="26"/>
      <c r="I10" s="28" t="n">
        <f aca="false">D10-C10-F10+E10-H10+G10+N10+O10</f>
        <v>0</v>
      </c>
      <c r="J10" s="29" t="n">
        <f aca="false">R10</f>
        <v>0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</v>
      </c>
    </row>
    <row r="11" customFormat="false" ht="12.75" hidden="false" customHeight="false" outlineLevel="0" collapsed="false">
      <c r="A11" s="80" t="s">
        <v>33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f aca="false">R11</f>
        <v>0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</v>
      </c>
    </row>
    <row r="12" customFormat="false" ht="12.75" hidden="false" customHeight="false" outlineLevel="0" collapsed="false">
      <c r="A12" s="80" t="s">
        <v>24</v>
      </c>
      <c r="B12" s="81" t="s">
        <v>26</v>
      </c>
      <c r="C12" s="25"/>
      <c r="D12" s="26"/>
      <c r="E12" s="25"/>
      <c r="F12" s="27"/>
      <c r="G12" s="27"/>
      <c r="H12" s="26"/>
      <c r="I12" s="28" t="n">
        <f aca="false">D12-C12-F12+E12-H12+G12+N12+O12</f>
        <v>0</v>
      </c>
      <c r="J12" s="29" t="n">
        <f aca="false">R12</f>
        <v>0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</v>
      </c>
    </row>
    <row r="13" customFormat="false" ht="12.75" hidden="false" customHeight="false" outlineLevel="0" collapsed="false">
      <c r="A13" s="80" t="s">
        <v>17</v>
      </c>
      <c r="B13" s="81" t="s">
        <v>28</v>
      </c>
      <c r="C13" s="25" t="n">
        <v>0.354166666666667</v>
      </c>
      <c r="D13" s="26" t="n">
        <v>0.510416666666667</v>
      </c>
      <c r="E13" s="25"/>
      <c r="F13" s="27"/>
      <c r="G13" s="27"/>
      <c r="H13" s="26"/>
      <c r="I13" s="28" t="n">
        <f aca="false">D13-C13-F13+E13-H13+G13+N13+O13</f>
        <v>0.15625</v>
      </c>
      <c r="J13" s="29" t="n">
        <f aca="false">R13</f>
        <v>0.166666666666667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0.166666666666667</v>
      </c>
    </row>
    <row r="14" customFormat="false" ht="12.75" hidden="false" customHeight="false" outlineLevel="0" collapsed="false">
      <c r="A14" s="80" t="s">
        <v>20</v>
      </c>
      <c r="B14" s="81" t="s">
        <v>30</v>
      </c>
      <c r="C14" s="25" t="n">
        <v>0.385416666666667</v>
      </c>
      <c r="D14" s="26" t="n">
        <v>0.666666666666667</v>
      </c>
      <c r="E14" s="25" t="n">
        <v>0.510416666666667</v>
      </c>
      <c r="F14" s="27" t="n">
        <v>0.53125</v>
      </c>
      <c r="G14" s="27"/>
      <c r="H14" s="26"/>
      <c r="I14" s="28" t="n">
        <v>0</v>
      </c>
      <c r="J14" s="29" t="n">
        <f aca="false">R14</f>
        <v>0.166666666666667</v>
      </c>
      <c r="K14" s="30" t="s">
        <v>46</v>
      </c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0.166666666666667</v>
      </c>
    </row>
    <row r="15" customFormat="false" ht="12.75" hidden="false" customHeight="false" outlineLevel="0" collapsed="false">
      <c r="A15" s="80" t="s">
        <v>23</v>
      </c>
      <c r="B15" s="81" t="s">
        <v>31</v>
      </c>
      <c r="C15" s="25" t="n">
        <v>0.385416666666667</v>
      </c>
      <c r="D15" s="26" t="n">
        <v>0.510416666666667</v>
      </c>
      <c r="E15" s="25"/>
      <c r="F15" s="27"/>
      <c r="G15" s="27"/>
      <c r="H15" s="26"/>
      <c r="I15" s="28" t="n">
        <f aca="false">D15-C15-F15+E15-H15+G15+N15+O15</f>
        <v>0.125</v>
      </c>
      <c r="J15" s="29" t="n">
        <f aca="false">R15</f>
        <v>0.166666666666667</v>
      </c>
      <c r="K15" s="30" t="s">
        <v>46</v>
      </c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0.166666666666667</v>
      </c>
    </row>
    <row r="16" customFormat="false" ht="12.75" hidden="false" customHeight="false" outlineLevel="0" collapsed="false">
      <c r="A16" s="80" t="s">
        <v>15</v>
      </c>
      <c r="B16" s="81" t="s">
        <v>32</v>
      </c>
      <c r="C16" s="25" t="n">
        <v>0.375</v>
      </c>
      <c r="D16" s="26" t="n">
        <v>0.5</v>
      </c>
      <c r="E16" s="25"/>
      <c r="F16" s="27"/>
      <c r="G16" s="27"/>
      <c r="H16" s="26"/>
      <c r="I16" s="28" t="n">
        <f aca="false">D16-C16-F16+E16-H16+G16+N16+O16</f>
        <v>0.125</v>
      </c>
      <c r="J16" s="29" t="n">
        <f aca="false">R16</f>
        <v>0.166666666666667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18</v>
      </c>
      <c r="B17" s="81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</v>
      </c>
    </row>
    <row r="18" customFormat="false" ht="12.75" hidden="false" customHeight="false" outlineLevel="0" collapsed="false">
      <c r="A18" s="80" t="s">
        <v>33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</v>
      </c>
      <c r="K18" s="30" t="s">
        <v>46</v>
      </c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</v>
      </c>
    </row>
    <row r="19" customFormat="false" ht="12.75" hidden="false" customHeight="false" outlineLevel="0" collapsed="false">
      <c r="A19" s="80" t="s">
        <v>24</v>
      </c>
      <c r="B19" s="81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</v>
      </c>
      <c r="J19" s="29" t="n">
        <f aca="false">R19</f>
        <v>0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</v>
      </c>
    </row>
    <row r="20" customFormat="false" ht="12.75" hidden="false" customHeight="false" outlineLevel="0" collapsed="false">
      <c r="A20" s="80" t="s">
        <v>17</v>
      </c>
      <c r="B20" s="81" t="s">
        <v>38</v>
      </c>
      <c r="C20" s="25" t="n">
        <v>0.354166666666667</v>
      </c>
      <c r="D20" s="26" t="n">
        <v>0.510416666666667</v>
      </c>
      <c r="E20" s="25"/>
      <c r="F20" s="27"/>
      <c r="G20" s="27"/>
      <c r="H20" s="26"/>
      <c r="I20" s="28" t="n">
        <f aca="false">D20-C20-F20+E20-H20+G20+N20+O20</f>
        <v>0.15625</v>
      </c>
      <c r="J20" s="29" t="n">
        <f aca="false">R20</f>
        <v>0.166666666666667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0.166666666666667</v>
      </c>
    </row>
    <row r="21" customFormat="false" ht="12.75" hidden="false" customHeight="false" outlineLevel="0" collapsed="false">
      <c r="A21" s="80" t="s">
        <v>20</v>
      </c>
      <c r="B21" s="81" t="s">
        <v>40</v>
      </c>
      <c r="C21" s="25" t="n">
        <v>0.385416666666667</v>
      </c>
      <c r="D21" s="26" t="n">
        <v>0.666666666666667</v>
      </c>
      <c r="E21" s="25" t="n">
        <v>0.510416666666667</v>
      </c>
      <c r="F21" s="27" t="n">
        <v>0.53125</v>
      </c>
      <c r="G21" s="27"/>
      <c r="H21" s="26"/>
      <c r="I21" s="28" t="n">
        <f aca="false">D21-C21-F21+E21-H21+G21+N21+O21</f>
        <v>0.260416666666667</v>
      </c>
      <c r="J21" s="29" t="n">
        <f aca="false">R21</f>
        <v>0.166666666666667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0.166666666666667</v>
      </c>
    </row>
    <row r="22" customFormat="false" ht="12.75" hidden="false" customHeight="false" outlineLevel="0" collapsed="false">
      <c r="A22" s="80" t="s">
        <v>23</v>
      </c>
      <c r="B22" s="81" t="s">
        <v>41</v>
      </c>
      <c r="C22" s="25" t="n">
        <v>0.385416666666667</v>
      </c>
      <c r="D22" s="26" t="n">
        <v>0.510416666666667</v>
      </c>
      <c r="E22" s="25"/>
      <c r="F22" s="27"/>
      <c r="G22" s="27"/>
      <c r="H22" s="26"/>
      <c r="I22" s="28" t="n">
        <f aca="false">D22-C22-F22+E22-H22+G22+N22+O22</f>
        <v>0.125</v>
      </c>
      <c r="J22" s="29" t="n">
        <f aca="false">R22</f>
        <v>0.166666666666667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0.166666666666667</v>
      </c>
    </row>
    <row r="23" customFormat="false" ht="12.75" hidden="false" customHeight="false" outlineLevel="0" collapsed="false">
      <c r="A23" s="80" t="s">
        <v>15</v>
      </c>
      <c r="B23" s="81" t="s">
        <v>42</v>
      </c>
      <c r="C23" s="25" t="n">
        <v>0.375</v>
      </c>
      <c r="D23" s="26" t="n">
        <v>0.5</v>
      </c>
      <c r="E23" s="25"/>
      <c r="F23" s="27"/>
      <c r="G23" s="27"/>
      <c r="H23" s="26"/>
      <c r="I23" s="28" t="n">
        <f aca="false">D23-C23-F23+E23-H23+G23+N23+O23</f>
        <v>0.125</v>
      </c>
      <c r="J23" s="29" t="n">
        <f aca="false">R23</f>
        <v>0.166666666666667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18</v>
      </c>
      <c r="B24" s="81" t="s">
        <v>43</v>
      </c>
      <c r="C24" s="25"/>
      <c r="D24" s="26"/>
      <c r="E24" s="25"/>
      <c r="F24" s="27"/>
      <c r="G24" s="27"/>
      <c r="H24" s="26"/>
      <c r="I24" s="28" t="n">
        <f aca="false">D24-C24-F24+E24-H24+G24+N24+O24</f>
        <v>0</v>
      </c>
      <c r="J24" s="29" t="n">
        <f aca="false">R24</f>
        <v>0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</v>
      </c>
    </row>
    <row r="25" customFormat="false" ht="12.75" hidden="false" customHeight="false" outlineLevel="0" collapsed="false">
      <c r="A25" s="80" t="s">
        <v>33</v>
      </c>
      <c r="B25" s="81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f aca="false">R25</f>
        <v>0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</v>
      </c>
    </row>
    <row r="26" customFormat="false" ht="12.75" hidden="false" customHeight="false" outlineLevel="0" collapsed="false">
      <c r="A26" s="80" t="s">
        <v>24</v>
      </c>
      <c r="B26" s="81" t="s">
        <v>45</v>
      </c>
      <c r="C26" s="25"/>
      <c r="D26" s="26"/>
      <c r="E26" s="25"/>
      <c r="F26" s="27"/>
      <c r="G26" s="27"/>
      <c r="H26" s="26"/>
      <c r="I26" s="28" t="n">
        <f aca="false">D26-C26-F26+E26-H26+G26+N26+O26</f>
        <v>0</v>
      </c>
      <c r="J26" s="29" t="n">
        <f aca="false">R26</f>
        <v>0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</v>
      </c>
    </row>
    <row r="27" customFormat="false" ht="12.75" hidden="false" customHeight="false" outlineLevel="0" collapsed="false">
      <c r="A27" s="80" t="s">
        <v>17</v>
      </c>
      <c r="B27" s="81" t="s">
        <v>47</v>
      </c>
      <c r="C27" s="25" t="n">
        <v>0.354166666666667</v>
      </c>
      <c r="D27" s="26" t="n">
        <v>0.510416666666667</v>
      </c>
      <c r="E27" s="25"/>
      <c r="F27" s="27"/>
      <c r="G27" s="27"/>
      <c r="H27" s="26"/>
      <c r="I27" s="28" t="n">
        <f aca="false">D27-C27-F27+E27-H27+G27+N27+O27</f>
        <v>0.15625</v>
      </c>
      <c r="J27" s="29" t="n">
        <f aca="false">R27</f>
        <v>0.166666666666667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0.166666666666667</v>
      </c>
    </row>
    <row r="28" customFormat="false" ht="12.75" hidden="false" customHeight="false" outlineLevel="0" collapsed="false">
      <c r="A28" s="80" t="s">
        <v>20</v>
      </c>
      <c r="B28" s="81" t="s">
        <v>48</v>
      </c>
      <c r="C28" s="25" t="n">
        <v>0.385416666666667</v>
      </c>
      <c r="D28" s="26" t="n">
        <v>0.666666666666667</v>
      </c>
      <c r="E28" s="25" t="n">
        <v>0.510416666666667</v>
      </c>
      <c r="F28" s="27" t="n">
        <v>0.53125</v>
      </c>
      <c r="G28" s="27"/>
      <c r="H28" s="26"/>
      <c r="I28" s="28" t="n">
        <f aca="false">D28-C28-F28+E28-H28+G28+N28+O28</f>
        <v>0.260416666666667</v>
      </c>
      <c r="J28" s="29" t="n">
        <f aca="false">R28</f>
        <v>0.166666666666667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0.166666666666667</v>
      </c>
    </row>
    <row r="29" customFormat="false" ht="12.75" hidden="false" customHeight="false" outlineLevel="0" collapsed="false">
      <c r="A29" s="80" t="s">
        <v>23</v>
      </c>
      <c r="B29" s="81" t="s">
        <v>49</v>
      </c>
      <c r="C29" s="25" t="n">
        <v>0.385416666666667</v>
      </c>
      <c r="D29" s="26" t="n">
        <v>0.510416666666667</v>
      </c>
      <c r="E29" s="25"/>
      <c r="F29" s="27"/>
      <c r="G29" s="27"/>
      <c r="H29" s="26"/>
      <c r="I29" s="28" t="n">
        <f aca="false">D29-C29-F29+E29-H29+G29+N29+O29</f>
        <v>0.125</v>
      </c>
      <c r="J29" s="29" t="n">
        <f aca="false">R29</f>
        <v>0.166666666666667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0.166666666666667</v>
      </c>
    </row>
    <row r="30" customFormat="false" ht="12.75" hidden="false" customHeight="false" outlineLevel="0" collapsed="false">
      <c r="A30" s="80" t="s">
        <v>15</v>
      </c>
      <c r="B30" s="81" t="s">
        <v>50</v>
      </c>
      <c r="C30" s="25" t="n">
        <v>0.375</v>
      </c>
      <c r="D30" s="26" t="n">
        <v>0.5</v>
      </c>
      <c r="E30" s="25"/>
      <c r="F30" s="27"/>
      <c r="G30" s="27"/>
      <c r="H30" s="26"/>
      <c r="I30" s="28" t="n">
        <f aca="false">D30-C30-F30+E30-H30+G30+N30+O30</f>
        <v>0.125</v>
      </c>
      <c r="J30" s="29" t="n">
        <f aca="false">R30</f>
        <v>0.166666666666667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18</v>
      </c>
      <c r="B31" s="81" t="s">
        <v>51</v>
      </c>
      <c r="C31" s="25"/>
      <c r="D31" s="26"/>
      <c r="E31" s="25"/>
      <c r="F31" s="27"/>
      <c r="G31" s="27"/>
      <c r="H31" s="26"/>
      <c r="I31" s="28" t="n">
        <f aca="false">D31-C31-F31+E31-H31+G31+N31+O31</f>
        <v>0</v>
      </c>
      <c r="J31" s="29" t="n">
        <f aca="false">R31</f>
        <v>0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</v>
      </c>
    </row>
    <row r="32" customFormat="false" ht="12.75" hidden="false" customHeight="false" outlineLevel="0" collapsed="false">
      <c r="A32" s="80" t="s">
        <v>33</v>
      </c>
      <c r="B32" s="81" t="s">
        <v>52</v>
      </c>
      <c r="C32" s="25"/>
      <c r="D32" s="26"/>
      <c r="E32" s="25"/>
      <c r="F32" s="27"/>
      <c r="G32" s="27"/>
      <c r="H32" s="26"/>
      <c r="I32" s="28" t="n">
        <f aca="false">D32-C32-F32+E32-H32+G32+N32+O32</f>
        <v>0</v>
      </c>
      <c r="J32" s="29" t="n">
        <f aca="false">R32</f>
        <v>0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</v>
      </c>
    </row>
    <row r="33" customFormat="false" ht="12.75" hidden="false" customHeight="false" outlineLevel="0" collapsed="false">
      <c r="A33" s="80" t="s">
        <v>24</v>
      </c>
      <c r="B33" s="81" t="s">
        <v>53</v>
      </c>
      <c r="C33" s="25"/>
      <c r="D33" s="26"/>
      <c r="E33" s="25"/>
      <c r="F33" s="27"/>
      <c r="G33" s="27"/>
      <c r="H33" s="26"/>
      <c r="I33" s="28" t="n">
        <f aca="false">$I$19</f>
        <v>0</v>
      </c>
      <c r="J33" s="29" t="n">
        <f aca="false">R33</f>
        <v>0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</v>
      </c>
    </row>
    <row r="34" customFormat="false" ht="12.75" hidden="false" customHeight="false" outlineLevel="0" collapsed="false">
      <c r="A34" s="80" t="s">
        <v>17</v>
      </c>
      <c r="B34" s="81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0.166666666666667</v>
      </c>
      <c r="J34" s="29" t="n">
        <f aca="false">R34</f>
        <v>0.166666666666667</v>
      </c>
      <c r="K34" s="86" t="s">
        <v>27</v>
      </c>
      <c r="L34" s="31"/>
      <c r="M34" s="32" t="n">
        <f aca="false">IF(OR(K34="U",K34="K"),J34,"0:00")</f>
        <v>0.166666666666667</v>
      </c>
      <c r="N34" s="1" t="n">
        <f aca="false">IF(M34&lt;&gt;"0:00",J34,"0:00")</f>
        <v>0.166666666666667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0.166666666666667</v>
      </c>
    </row>
    <row r="35" customFormat="false" ht="12.75" hidden="false" customHeight="false" outlineLevel="0" collapsed="false">
      <c r="A35" s="80" t="s">
        <v>20</v>
      </c>
      <c r="B35" s="81" t="s">
        <v>55</v>
      </c>
      <c r="C35" s="25"/>
      <c r="D35" s="26"/>
      <c r="E35" s="25"/>
      <c r="F35" s="27"/>
      <c r="G35" s="27"/>
      <c r="H35" s="26"/>
      <c r="I35" s="28" t="n">
        <f aca="false">D35-C35-F35+E35-H35+G35+N35+O35</f>
        <v>0.166666666666667</v>
      </c>
      <c r="J35" s="29" t="n">
        <f aca="false">R35</f>
        <v>0.166666666666667</v>
      </c>
      <c r="K35" s="86" t="s">
        <v>27</v>
      </c>
      <c r="L35" s="31"/>
      <c r="M35" s="32" t="n">
        <f aca="false">IF(OR(K35="U",K35="K"),J35,"0:00")</f>
        <v>0.166666666666667</v>
      </c>
      <c r="N35" s="1" t="n">
        <f aca="false">IF(M35&lt;&gt;"0:00",J35,"0:00")</f>
        <v>0.166666666666667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0.166666666666667</v>
      </c>
    </row>
    <row r="36" customFormat="false" ht="12.75" hidden="false" customHeight="false" outlineLevel="0" collapsed="false">
      <c r="A36" s="80" t="s">
        <v>23</v>
      </c>
      <c r="B36" s="81" t="s">
        <v>56</v>
      </c>
      <c r="C36" s="25"/>
      <c r="D36" s="26"/>
      <c r="E36" s="25"/>
      <c r="F36" s="27"/>
      <c r="G36" s="27"/>
      <c r="H36" s="26"/>
      <c r="I36" s="28" t="n">
        <f aca="false">D36-C36-F36+E36-H36+G36+N36+O36</f>
        <v>0.166666666666667</v>
      </c>
      <c r="J36" s="29" t="n">
        <f aca="false">R36</f>
        <v>0.166666666666667</v>
      </c>
      <c r="K36" s="86" t="s">
        <v>27</v>
      </c>
      <c r="L36" s="31"/>
      <c r="M36" s="32" t="n">
        <f aca="false">IF(OR(K36="U",K36="K"),J36,"0:00")</f>
        <v>0.166666666666667</v>
      </c>
      <c r="N36" s="1" t="n">
        <f aca="false">IF(M36&lt;&gt;"0:00",J36,"0:00")</f>
        <v>0.166666666666667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0.166666666666667</v>
      </c>
    </row>
    <row r="37" customFormat="false" ht="12.75" hidden="false" customHeight="false" outlineLevel="0" collapsed="false">
      <c r="A37" s="80" t="s">
        <v>15</v>
      </c>
      <c r="B37" s="81" t="s">
        <v>57</v>
      </c>
      <c r="C37" s="25"/>
      <c r="D37" s="26"/>
      <c r="E37" s="25"/>
      <c r="F37" s="27"/>
      <c r="G37" s="27"/>
      <c r="H37" s="26"/>
      <c r="I37" s="28" t="n">
        <f aca="false">D37-C37-F37+E37-H37+G37+N37+O37</f>
        <v>0.166666666666667</v>
      </c>
      <c r="J37" s="29" t="n">
        <f aca="false">R37</f>
        <v>0.166666666666667</v>
      </c>
      <c r="K37" s="86" t="s">
        <v>27</v>
      </c>
      <c r="L37" s="31"/>
      <c r="M37" s="32" t="n">
        <f aca="false">IF(OR(K37="U",K37="K"),J37,"0:00")</f>
        <v>0.166666666666667</v>
      </c>
      <c r="N37" s="1" t="n">
        <f aca="false">IF(M37&lt;&gt;"0:00",J37,"0:00")</f>
        <v>0.166666666666667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</row>
    <row r="38" customFormat="false" ht="12.75" hidden="false" customHeight="false" outlineLevel="0" collapsed="false">
      <c r="A38" s="83" t="s">
        <v>18</v>
      </c>
      <c r="B38" s="84" t="s">
        <v>58</v>
      </c>
      <c r="C38" s="41"/>
      <c r="D38" s="42"/>
      <c r="E38" s="41"/>
      <c r="F38" s="43"/>
      <c r="G38" s="43"/>
      <c r="H38" s="42"/>
      <c r="I38" s="44" t="n">
        <f aca="false">D38-C38-F38+E38-H38+G38+N38+O38</f>
        <v>0</v>
      </c>
      <c r="J38" s="45" t="n">
        <f aca="false">R38</f>
        <v>0</v>
      </c>
      <c r="K38" s="43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IF(A38="Mo",Januar!$Q$8,IF(A38="Di",Januar!$Q$9,IF(A38="Mi",Januar!$Q$10,IF(A38="Do",Januar!$Q$11,IF(A38="Fr",Januar!$Q$12,Januar!$Q$13)))))</f>
        <v>0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2.40625</v>
      </c>
      <c r="J40" s="47" t="n">
        <f aca="false">SUM(J8:J38)</f>
        <v>3</v>
      </c>
    </row>
    <row r="41" customFormat="false" ht="13.5" hidden="false" customHeight="false" outlineLevel="0" collapsed="false">
      <c r="I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2.40625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str">
        <f aca="false">Juni!G50</f>
        <v>00:00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n">
        <f aca="false">Juni!G51</f>
        <v>0.650000000000015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3</v>
      </c>
      <c r="H48" s="54"/>
      <c r="J48" s="63" t="str">
        <f aca="false">Januar!J48</f>
        <v>genommener Urlaub</v>
      </c>
      <c r="L48" s="62" t="n">
        <f aca="false">M48+Juni!L48+0.5*N48</f>
        <v>7</v>
      </c>
      <c r="M48" s="0" t="n">
        <f aca="false">COUNTIF($K$8:$K$38,"u")</f>
        <v>4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94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21</v>
      </c>
    </row>
    <row r="51" customFormat="false" ht="13.5" hidden="false" customHeight="false" outlineLevel="0" collapsed="false">
      <c r="B51" s="53"/>
      <c r="C51" s="0" t="s">
        <v>95</v>
      </c>
      <c r="F51" s="59" t="s">
        <v>66</v>
      </c>
      <c r="G51" s="69" t="n">
        <f aca="false">IF(G43+G45-G46-G48&lt;0,-1*(G43+G45-G46-G48),"00:00")</f>
        <v>1.24375000000002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K9" activeCellId="0" sqref="K9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n">
        <f aca="false">Januar!H4</f>
        <v>0</v>
      </c>
      <c r="K4" s="7" t="s">
        <v>3</v>
      </c>
      <c r="L4" s="5" t="s">
        <v>96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33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f aca="false">R8</f>
        <v>0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</v>
      </c>
    </row>
    <row r="9" customFormat="false" ht="12.75" hidden="false" customHeight="false" outlineLevel="0" collapsed="false">
      <c r="A9" s="80" t="s">
        <v>24</v>
      </c>
      <c r="B9" s="74" t="s">
        <v>19</v>
      </c>
      <c r="C9" s="25"/>
      <c r="D9" s="26"/>
      <c r="E9" s="25"/>
      <c r="F9" s="27"/>
      <c r="G9" s="27"/>
      <c r="H9" s="26"/>
      <c r="I9" s="28" t="n">
        <f aca="false">D9-C9-F9+E9-H9+G9+N9+O9</f>
        <v>0</v>
      </c>
      <c r="J9" s="29" t="n">
        <f aca="false">R9</f>
        <v>0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</v>
      </c>
    </row>
    <row r="10" customFormat="false" ht="12.75" hidden="false" customHeight="false" outlineLevel="0" collapsed="false">
      <c r="A10" s="80" t="s">
        <v>17</v>
      </c>
      <c r="B10" s="81" t="s">
        <v>22</v>
      </c>
      <c r="C10" s="25"/>
      <c r="D10" s="26"/>
      <c r="E10" s="25"/>
      <c r="F10" s="27"/>
      <c r="G10" s="27"/>
      <c r="H10" s="26"/>
      <c r="I10" s="28" t="n">
        <f aca="false">D10-C10-F10+E10-H10+G10+N10+O10</f>
        <v>0.166666666666667</v>
      </c>
      <c r="J10" s="29" t="n">
        <f aca="false">R10</f>
        <v>0.166666666666667</v>
      </c>
      <c r="K10" s="30" t="s">
        <v>27</v>
      </c>
      <c r="L10" s="31"/>
      <c r="M10" s="32" t="n">
        <f aca="false">IF(OR(K10="U",K10="K"),J10,"0:00")</f>
        <v>0.166666666666667</v>
      </c>
      <c r="N10" s="1" t="n">
        <f aca="false">IF(M10&lt;&gt;"0:00",J10,"0:00")</f>
        <v>0.166666666666667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0.166666666666667</v>
      </c>
    </row>
    <row r="11" customFormat="false" ht="12.75" hidden="false" customHeight="false" outlineLevel="0" collapsed="false">
      <c r="A11" s="80" t="s">
        <v>20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0.166666666666667</v>
      </c>
      <c r="J11" s="29" t="n">
        <f aca="false">R11</f>
        <v>0.166666666666667</v>
      </c>
      <c r="K11" s="30" t="s">
        <v>27</v>
      </c>
      <c r="L11" s="31"/>
      <c r="M11" s="32" t="n">
        <f aca="false">IF(OR(K11="U",K11="K"),J11,"0:00")</f>
        <v>0.166666666666667</v>
      </c>
      <c r="N11" s="1" t="n">
        <f aca="false">IF(M11&lt;&gt;"0:00",J11,"0:00")</f>
        <v>0.166666666666667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0.166666666666667</v>
      </c>
    </row>
    <row r="12" customFormat="false" ht="12.75" hidden="false" customHeight="false" outlineLevel="0" collapsed="false">
      <c r="A12" s="80" t="s">
        <v>23</v>
      </c>
      <c r="B12" s="81" t="s">
        <v>26</v>
      </c>
      <c r="C12" s="25"/>
      <c r="D12" s="26"/>
      <c r="E12" s="25"/>
      <c r="F12" s="27"/>
      <c r="G12" s="27"/>
      <c r="H12" s="26"/>
      <c r="I12" s="28" t="n">
        <f aca="false">D12-C12-F12+E12-H12+G12+N12+O12</f>
        <v>0.166666666666667</v>
      </c>
      <c r="J12" s="29" t="n">
        <f aca="false">R12</f>
        <v>0.166666666666667</v>
      </c>
      <c r="K12" s="30" t="s">
        <v>27</v>
      </c>
      <c r="L12" s="31"/>
      <c r="M12" s="32" t="n">
        <f aca="false">IF(OR(K12="U",K12="K"),J12,"0:00")</f>
        <v>0.166666666666667</v>
      </c>
      <c r="N12" s="1" t="n">
        <f aca="false">IF(M12&lt;&gt;"0:00",J12,"0:00")</f>
        <v>0.166666666666667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0.166666666666667</v>
      </c>
    </row>
    <row r="13" customFormat="false" ht="12.75" hidden="false" customHeight="false" outlineLevel="0" collapsed="false">
      <c r="A13" s="80" t="s">
        <v>15</v>
      </c>
      <c r="B13" s="81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0.166666666666667</v>
      </c>
      <c r="J13" s="29" t="n">
        <f aca="false">R13</f>
        <v>0.166666666666667</v>
      </c>
      <c r="K13" s="30" t="s">
        <v>27</v>
      </c>
      <c r="L13" s="31"/>
      <c r="M13" s="32" t="n">
        <f aca="false">IF(OR(K13="U",K13="K"),J13,"0:00")</f>
        <v>0.166666666666667</v>
      </c>
      <c r="N13" s="1" t="n">
        <f aca="false">IF(M13&lt;&gt;"0:00",J13,"0:00")</f>
        <v>0.166666666666667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0.166666666666667</v>
      </c>
    </row>
    <row r="14" customFormat="false" ht="12.75" hidden="false" customHeight="false" outlineLevel="0" collapsed="false">
      <c r="A14" s="80" t="s">
        <v>18</v>
      </c>
      <c r="B14" s="81" t="s">
        <v>30</v>
      </c>
      <c r="C14" s="25"/>
      <c r="D14" s="26"/>
      <c r="E14" s="25"/>
      <c r="F14" s="27"/>
      <c r="G14" s="27"/>
      <c r="H14" s="26"/>
      <c r="I14" s="28" t="n">
        <f aca="false">D14-C14-F14+E14-H14+G14+N14+O14</f>
        <v>0</v>
      </c>
      <c r="J14" s="29" t="n">
        <f aca="false">R14</f>
        <v>0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</v>
      </c>
    </row>
    <row r="15" customFormat="false" ht="12.75" hidden="false" customHeight="false" outlineLevel="0" collapsed="false">
      <c r="A15" s="80" t="s">
        <v>33</v>
      </c>
      <c r="B15" s="81" t="s">
        <v>31</v>
      </c>
      <c r="C15" s="25"/>
      <c r="D15" s="26"/>
      <c r="E15" s="25"/>
      <c r="F15" s="27"/>
      <c r="G15" s="27"/>
      <c r="H15" s="26"/>
      <c r="I15" s="28" t="n">
        <f aca="false">D15-C15-F15+E15-H15+G15+N15+O15</f>
        <v>0</v>
      </c>
      <c r="J15" s="29" t="n">
        <f aca="false">R15</f>
        <v>0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</v>
      </c>
    </row>
    <row r="16" customFormat="false" ht="12.75" hidden="false" customHeight="false" outlineLevel="0" collapsed="false">
      <c r="A16" s="80" t="s">
        <v>24</v>
      </c>
      <c r="B16" s="81" t="s">
        <v>32</v>
      </c>
      <c r="C16" s="25"/>
      <c r="D16" s="26"/>
      <c r="E16" s="25"/>
      <c r="F16" s="27"/>
      <c r="G16" s="27"/>
      <c r="H16" s="26"/>
      <c r="I16" s="28" t="n">
        <f aca="false">D16-C16-F16+E16-H16+G16+N16+O16</f>
        <v>0</v>
      </c>
      <c r="J16" s="29" t="n">
        <f aca="false">R16</f>
        <v>0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</v>
      </c>
    </row>
    <row r="17" customFormat="false" ht="12.75" hidden="false" customHeight="false" outlineLevel="0" collapsed="false">
      <c r="A17" s="80" t="s">
        <v>17</v>
      </c>
      <c r="B17" s="81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0.166666666666667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80" t="s">
        <v>20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0.166666666666667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0.166666666666667</v>
      </c>
    </row>
    <row r="19" customFormat="false" ht="12.75" hidden="false" customHeight="false" outlineLevel="0" collapsed="false">
      <c r="A19" s="80" t="s">
        <v>23</v>
      </c>
      <c r="B19" s="81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</v>
      </c>
      <c r="J19" s="29" t="n">
        <f aca="false">R19</f>
        <v>0.166666666666667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0.166666666666667</v>
      </c>
    </row>
    <row r="20" customFormat="false" ht="12.75" hidden="false" customHeight="false" outlineLevel="0" collapsed="false">
      <c r="A20" s="80" t="s">
        <v>15</v>
      </c>
      <c r="B20" s="81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0.166666666666667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0.166666666666667</v>
      </c>
    </row>
    <row r="21" customFormat="false" ht="12.75" hidden="false" customHeight="false" outlineLevel="0" collapsed="false">
      <c r="A21" s="80" t="s">
        <v>18</v>
      </c>
      <c r="B21" s="81" t="s">
        <v>40</v>
      </c>
      <c r="C21" s="25"/>
      <c r="D21" s="26"/>
      <c r="E21" s="25"/>
      <c r="F21" s="27"/>
      <c r="G21" s="27"/>
      <c r="H21" s="26"/>
      <c r="I21" s="28" t="n">
        <f aca="false">D21-C21-F21+E21-H21+G21+N21+O21</f>
        <v>0</v>
      </c>
      <c r="J21" s="29" t="n">
        <f aca="false">R21</f>
        <v>0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</v>
      </c>
    </row>
    <row r="22" customFormat="false" ht="12.75" hidden="false" customHeight="false" outlineLevel="0" collapsed="false">
      <c r="A22" s="80" t="s">
        <v>33</v>
      </c>
      <c r="B22" s="81" t="s">
        <v>41</v>
      </c>
      <c r="C22" s="25"/>
      <c r="D22" s="26"/>
      <c r="E22" s="25"/>
      <c r="F22" s="27"/>
      <c r="G22" s="27"/>
      <c r="H22" s="26"/>
      <c r="I22" s="28" t="n">
        <f aca="false">D22-C22-F22+E22-H22+G22+N22+O22</f>
        <v>0</v>
      </c>
      <c r="J22" s="29" t="n">
        <f aca="false">R22</f>
        <v>0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</v>
      </c>
    </row>
    <row r="23" customFormat="false" ht="12.75" hidden="false" customHeight="false" outlineLevel="0" collapsed="false">
      <c r="A23" s="80" t="s">
        <v>24</v>
      </c>
      <c r="B23" s="81" t="s">
        <v>42</v>
      </c>
      <c r="C23" s="25"/>
      <c r="D23" s="26"/>
      <c r="E23" s="25"/>
      <c r="F23" s="27"/>
      <c r="G23" s="27"/>
      <c r="H23" s="26"/>
      <c r="I23" s="28" t="n">
        <f aca="false">D23-C23-F23+E23-H23+G23+N23+O23</f>
        <v>0</v>
      </c>
      <c r="J23" s="29" t="n">
        <f aca="false">R23</f>
        <v>0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</v>
      </c>
    </row>
    <row r="24" customFormat="false" ht="12.75" hidden="false" customHeight="false" outlineLevel="0" collapsed="false">
      <c r="A24" s="80" t="s">
        <v>17</v>
      </c>
      <c r="B24" s="81" t="s">
        <v>43</v>
      </c>
      <c r="C24" s="25"/>
      <c r="D24" s="26"/>
      <c r="E24" s="25"/>
      <c r="F24" s="27"/>
      <c r="G24" s="27"/>
      <c r="H24" s="26"/>
      <c r="I24" s="28" t="n">
        <f aca="false">D24-C24-F24+E24-H24+G24+N24+O24</f>
        <v>0</v>
      </c>
      <c r="J24" s="29" t="n">
        <f aca="false">R24</f>
        <v>0.166666666666667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80" t="s">
        <v>20</v>
      </c>
      <c r="B25" s="81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f aca="false">R25</f>
        <v>0.166666666666667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0.166666666666667</v>
      </c>
    </row>
    <row r="26" customFormat="false" ht="12.75" hidden="false" customHeight="false" outlineLevel="0" collapsed="false">
      <c r="A26" s="80" t="s">
        <v>23</v>
      </c>
      <c r="B26" s="81" t="s">
        <v>45</v>
      </c>
      <c r="C26" s="25"/>
      <c r="D26" s="26"/>
      <c r="E26" s="25"/>
      <c r="F26" s="27"/>
      <c r="G26" s="27"/>
      <c r="H26" s="26"/>
      <c r="I26" s="28" t="n">
        <f aca="false">D26-C26-F26+E26-H26+G26+N26+O26</f>
        <v>0</v>
      </c>
      <c r="J26" s="29" t="n">
        <f aca="false">R26</f>
        <v>0.166666666666667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0.166666666666667</v>
      </c>
    </row>
    <row r="27" customFormat="false" ht="12.75" hidden="false" customHeight="false" outlineLevel="0" collapsed="false">
      <c r="A27" s="80" t="s">
        <v>15</v>
      </c>
      <c r="B27" s="81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0.166666666666667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0.166666666666667</v>
      </c>
    </row>
    <row r="28" customFormat="false" ht="12.75" hidden="false" customHeight="false" outlineLevel="0" collapsed="false">
      <c r="A28" s="80" t="s">
        <v>18</v>
      </c>
      <c r="B28" s="81" t="s">
        <v>48</v>
      </c>
      <c r="C28" s="25"/>
      <c r="D28" s="26"/>
      <c r="E28" s="25"/>
      <c r="F28" s="27"/>
      <c r="G28" s="27"/>
      <c r="H28" s="26"/>
      <c r="I28" s="28" t="n">
        <f aca="false">D28-C28-F28+E28-H28+G28+N28+O28</f>
        <v>0</v>
      </c>
      <c r="J28" s="29" t="n">
        <f aca="false">R28</f>
        <v>0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</v>
      </c>
    </row>
    <row r="29" customFormat="false" ht="12.75" hidden="false" customHeight="false" outlineLevel="0" collapsed="false">
      <c r="A29" s="80" t="s">
        <v>33</v>
      </c>
      <c r="B29" s="81" t="s">
        <v>49</v>
      </c>
      <c r="C29" s="25"/>
      <c r="D29" s="26"/>
      <c r="E29" s="25"/>
      <c r="F29" s="27"/>
      <c r="G29" s="27"/>
      <c r="H29" s="26"/>
      <c r="I29" s="28" t="n">
        <f aca="false">D29-C29-F29+E29-H29+G29+N29+O29</f>
        <v>0</v>
      </c>
      <c r="J29" s="29" t="n">
        <f aca="false">R29</f>
        <v>0</v>
      </c>
      <c r="K29" s="27" t="s">
        <v>46</v>
      </c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</v>
      </c>
    </row>
    <row r="30" customFormat="false" ht="12.75" hidden="false" customHeight="false" outlineLevel="0" collapsed="false">
      <c r="A30" s="80" t="s">
        <v>24</v>
      </c>
      <c r="B30" s="81" t="s">
        <v>50</v>
      </c>
      <c r="C30" s="25"/>
      <c r="D30" s="26"/>
      <c r="E30" s="25"/>
      <c r="F30" s="27"/>
      <c r="G30" s="27"/>
      <c r="H30" s="26"/>
      <c r="I30" s="28" t="n">
        <f aca="false">D30-C30-F30+E30-H30+G30+N30+O30</f>
        <v>0</v>
      </c>
      <c r="J30" s="29" t="n">
        <f aca="false">R30</f>
        <v>0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</v>
      </c>
    </row>
    <row r="31" customFormat="false" ht="12.75" hidden="false" customHeight="false" outlineLevel="0" collapsed="false">
      <c r="A31" s="80" t="s">
        <v>17</v>
      </c>
      <c r="B31" s="81" t="s">
        <v>51</v>
      </c>
      <c r="C31" s="25" t="n">
        <v>0.354166666666667</v>
      </c>
      <c r="D31" s="26" t="n">
        <v>0.510416666666667</v>
      </c>
      <c r="E31" s="25"/>
      <c r="F31" s="27"/>
      <c r="G31" s="27"/>
      <c r="H31" s="26"/>
      <c r="I31" s="28" t="n">
        <f aca="false">D31-C31-F31+E31-H31+G31+N31+O31</f>
        <v>0.15625</v>
      </c>
      <c r="J31" s="29" t="n">
        <f aca="false">R31</f>
        <v>0.166666666666667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80" t="s">
        <v>20</v>
      </c>
      <c r="B32" s="81" t="s">
        <v>52</v>
      </c>
      <c r="C32" s="25" t="n">
        <v>0.385416666666667</v>
      </c>
      <c r="D32" s="26" t="n">
        <v>0.666666666666667</v>
      </c>
      <c r="E32" s="25" t="n">
        <v>0.510416666666667</v>
      </c>
      <c r="F32" s="27" t="n">
        <v>0.53125</v>
      </c>
      <c r="G32" s="27"/>
      <c r="H32" s="26"/>
      <c r="I32" s="28" t="n">
        <f aca="false">D32-C32-F32+E32-H32+G32+N32+O32</f>
        <v>0.260416666666667</v>
      </c>
      <c r="J32" s="29" t="n">
        <f aca="false">R32</f>
        <v>0.166666666666667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0.166666666666667</v>
      </c>
    </row>
    <row r="33" customFormat="false" ht="12.75" hidden="false" customHeight="false" outlineLevel="0" collapsed="false">
      <c r="A33" s="80" t="s">
        <v>23</v>
      </c>
      <c r="B33" s="81" t="s">
        <v>53</v>
      </c>
      <c r="C33" s="25" t="n">
        <v>0.385416666666667</v>
      </c>
      <c r="D33" s="26" t="n">
        <v>0.510416666666667</v>
      </c>
      <c r="E33" s="25"/>
      <c r="F33" s="27"/>
      <c r="G33" s="27"/>
      <c r="H33" s="26"/>
      <c r="I33" s="28" t="n">
        <f aca="false">D33-C33-F33+E33-H33+G33+N33+O33</f>
        <v>0.125</v>
      </c>
      <c r="J33" s="29" t="n">
        <f aca="false">R33</f>
        <v>0.166666666666667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0.166666666666667</v>
      </c>
    </row>
    <row r="34" customFormat="false" ht="12.75" hidden="false" customHeight="false" outlineLevel="0" collapsed="false">
      <c r="A34" s="80" t="s">
        <v>15</v>
      </c>
      <c r="B34" s="81" t="s">
        <v>54</v>
      </c>
      <c r="C34" s="25" t="n">
        <v>0.375</v>
      </c>
      <c r="D34" s="26" t="n">
        <v>0.5</v>
      </c>
      <c r="E34" s="25"/>
      <c r="F34" s="27"/>
      <c r="G34" s="27"/>
      <c r="H34" s="26"/>
      <c r="I34" s="28" t="n">
        <f aca="false">D34-C34-F34+E34-H34+G34+N34+O34</f>
        <v>0.125</v>
      </c>
      <c r="J34" s="29" t="n">
        <f aca="false">R34</f>
        <v>0.166666666666667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0.166666666666667</v>
      </c>
    </row>
    <row r="35" customFormat="false" ht="12.75" hidden="false" customHeight="false" outlineLevel="0" collapsed="false">
      <c r="A35" s="80" t="s">
        <v>18</v>
      </c>
      <c r="B35" s="81" t="s">
        <v>55</v>
      </c>
      <c r="C35" s="25"/>
      <c r="D35" s="26"/>
      <c r="E35" s="25"/>
      <c r="F35" s="27"/>
      <c r="G35" s="27"/>
      <c r="H35" s="26"/>
      <c r="I35" s="28" t="n">
        <f aca="false">D35-C35-F35+E35-H35+G35+N35+O35</f>
        <v>0</v>
      </c>
      <c r="J35" s="29" t="n">
        <f aca="false">R35</f>
        <v>0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</v>
      </c>
    </row>
    <row r="36" customFormat="false" ht="12.75" hidden="false" customHeight="false" outlineLevel="0" collapsed="false">
      <c r="A36" s="80" t="s">
        <v>33</v>
      </c>
      <c r="B36" s="81" t="s">
        <v>56</v>
      </c>
      <c r="C36" s="25"/>
      <c r="D36" s="26"/>
      <c r="E36" s="25"/>
      <c r="F36" s="27"/>
      <c r="G36" s="27"/>
      <c r="H36" s="26"/>
      <c r="I36" s="28" t="n">
        <f aca="false">D36-C36-F36+E36-H36+G36+N36+O36</f>
        <v>0</v>
      </c>
      <c r="J36" s="29" t="n">
        <f aca="false">R36</f>
        <v>0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</v>
      </c>
    </row>
    <row r="37" customFormat="false" ht="12.75" hidden="false" customHeight="false" outlineLevel="0" collapsed="false">
      <c r="A37" s="80" t="s">
        <v>24</v>
      </c>
      <c r="B37" s="81" t="s">
        <v>57</v>
      </c>
      <c r="C37" s="25"/>
      <c r="D37" s="26"/>
      <c r="E37" s="25"/>
      <c r="F37" s="27"/>
      <c r="G37" s="27"/>
      <c r="H37" s="26"/>
      <c r="I37" s="28" t="n">
        <f aca="false">D37-C37-F37+E37-H37+G37+N37+O37</f>
        <v>0</v>
      </c>
      <c r="J37" s="29" t="n">
        <f aca="false">R37</f>
        <v>0</v>
      </c>
      <c r="K37" s="27"/>
      <c r="L37" s="31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</v>
      </c>
    </row>
    <row r="38" customFormat="false" ht="12.75" hidden="false" customHeight="false" outlineLevel="0" collapsed="false">
      <c r="A38" s="83" t="s">
        <v>17</v>
      </c>
      <c r="B38" s="84" t="s">
        <v>58</v>
      </c>
      <c r="C38" s="41"/>
      <c r="D38" s="42"/>
      <c r="E38" s="41"/>
      <c r="F38" s="43"/>
      <c r="G38" s="43"/>
      <c r="H38" s="42"/>
      <c r="I38" s="44" t="n">
        <f aca="false">D38-C38-F38+E38-H38+G38+N38+O38</f>
        <v>0</v>
      </c>
      <c r="J38" s="45" t="n">
        <f aca="false">R38</f>
        <v>0.166666666666667</v>
      </c>
      <c r="K38" s="43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IF(A38="Mo",Januar!$Q$8,IF(A38="Di",Januar!$Q$9,IF(A38="Mi",Januar!$Q$10,IF(A38="Do",Januar!$Q$11,IF(A38="Fr",Januar!$Q$12,Januar!$Q$13)))))</f>
        <v>0.166666666666667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1.33333333333333</v>
      </c>
      <c r="J40" s="47" t="n">
        <f aca="false">SUM(J8:J38)</f>
        <v>2.83333333333333</v>
      </c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1.33333333333333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str">
        <f aca="false">Juli!G50</f>
        <v>00:00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n">
        <f aca="false">Juli!G51</f>
        <v>1.24375000000002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2.83333333333333</v>
      </c>
      <c r="H48" s="54"/>
      <c r="J48" s="63" t="str">
        <f aca="false">Januar!J48</f>
        <v>genommener Urlaub</v>
      </c>
      <c r="L48" s="62" t="n">
        <f aca="false">M48+Juli!L48+0.5*N48</f>
        <v>11</v>
      </c>
      <c r="M48" s="0" t="n">
        <f aca="false">COUNTIF($K$8:$K$38,"u")</f>
        <v>4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97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17</v>
      </c>
    </row>
    <row r="51" customFormat="false" ht="13.5" hidden="false" customHeight="false" outlineLevel="0" collapsed="false">
      <c r="B51" s="53"/>
      <c r="C51" s="0" t="s">
        <v>98</v>
      </c>
      <c r="F51" s="59" t="s">
        <v>66</v>
      </c>
      <c r="G51" s="69" t="n">
        <f aca="false">IF(G43+G45-G46-G48&lt;0,-1*(G43+G45-G46-G48),"00:00")</f>
        <v>2.74375000000001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35" activeCellId="0" sqref="C35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99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20</v>
      </c>
      <c r="B8" s="74" t="s">
        <v>16</v>
      </c>
      <c r="C8" s="25" t="n">
        <v>0.385416666666667</v>
      </c>
      <c r="D8" s="26" t="n">
        <v>0.666666666666667</v>
      </c>
      <c r="E8" s="25" t="n">
        <v>0.510416666666667</v>
      </c>
      <c r="F8" s="27" t="n">
        <v>0.53125</v>
      </c>
      <c r="G8" s="27"/>
      <c r="H8" s="26"/>
      <c r="I8" s="28" t="n">
        <f aca="false">D8-C8-F8+E8-H8+G8+N8+O8</f>
        <v>0.260416666666667</v>
      </c>
      <c r="J8" s="29" t="n">
        <f aca="false">R8</f>
        <v>0.166666666666667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0.166666666666667</v>
      </c>
    </row>
    <row r="9" customFormat="false" ht="12.75" hidden="false" customHeight="false" outlineLevel="0" collapsed="false">
      <c r="A9" s="80" t="s">
        <v>23</v>
      </c>
      <c r="B9" s="74" t="s">
        <v>19</v>
      </c>
      <c r="C9" s="25" t="n">
        <v>0.385416666666667</v>
      </c>
      <c r="D9" s="26" t="n">
        <v>0.510416666666667</v>
      </c>
      <c r="E9" s="25"/>
      <c r="F9" s="27"/>
      <c r="G9" s="27"/>
      <c r="H9" s="26"/>
      <c r="I9" s="28" t="n">
        <f aca="false">D9-C9-F9+E9-H9+G9+N9+O9</f>
        <v>0.125</v>
      </c>
      <c r="J9" s="29" t="n">
        <f aca="false">R9</f>
        <v>0.166666666666667</v>
      </c>
      <c r="K9" s="30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15</v>
      </c>
      <c r="B10" s="81" t="s">
        <v>22</v>
      </c>
      <c r="C10" s="25" t="n">
        <v>0.375</v>
      </c>
      <c r="D10" s="26" t="n">
        <v>0.5</v>
      </c>
      <c r="E10" s="25"/>
      <c r="F10" s="27"/>
      <c r="G10" s="27"/>
      <c r="H10" s="26"/>
      <c r="I10" s="28" t="n">
        <f aca="false">D10-C10-F10+E10-H10+G10+N10+O10</f>
        <v>0.125</v>
      </c>
      <c r="J10" s="29" t="n">
        <f aca="false">R10</f>
        <v>0.166666666666667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0.166666666666667</v>
      </c>
    </row>
    <row r="11" customFormat="false" ht="12.75" hidden="false" customHeight="false" outlineLevel="0" collapsed="false">
      <c r="A11" s="80" t="s">
        <v>18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f aca="false">R11</f>
        <v>0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</v>
      </c>
    </row>
    <row r="12" customFormat="false" ht="12.75" hidden="false" customHeight="false" outlineLevel="0" collapsed="false">
      <c r="A12" s="80" t="s">
        <v>33</v>
      </c>
      <c r="B12" s="81" t="s">
        <v>26</v>
      </c>
      <c r="C12" s="25"/>
      <c r="D12" s="26"/>
      <c r="E12" s="25"/>
      <c r="F12" s="27"/>
      <c r="G12" s="27"/>
      <c r="H12" s="26"/>
      <c r="I12" s="28" t="n">
        <f aca="false">D12-C12-F12+E12-H12+G12+N12+O12</f>
        <v>0</v>
      </c>
      <c r="J12" s="29" t="n">
        <f aca="false">R12</f>
        <v>0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</v>
      </c>
    </row>
    <row r="13" customFormat="false" ht="12.75" hidden="false" customHeight="false" outlineLevel="0" collapsed="false">
      <c r="A13" s="80" t="s">
        <v>24</v>
      </c>
      <c r="B13" s="81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</v>
      </c>
      <c r="J13" s="29" t="n">
        <f aca="false">R13</f>
        <v>0</v>
      </c>
      <c r="K13" s="4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</v>
      </c>
    </row>
    <row r="14" customFormat="false" ht="12.75" hidden="false" customHeight="false" outlineLevel="0" collapsed="false">
      <c r="A14" s="80" t="s">
        <v>17</v>
      </c>
      <c r="B14" s="81" t="s">
        <v>30</v>
      </c>
      <c r="C14" s="25" t="n">
        <v>0.354166666666667</v>
      </c>
      <c r="D14" s="26" t="n">
        <v>0.510416666666667</v>
      </c>
      <c r="E14" s="25"/>
      <c r="F14" s="27"/>
      <c r="G14" s="27"/>
      <c r="H14" s="26"/>
      <c r="I14" s="28" t="n">
        <f aca="false">D14-C14-F14+E14-H14+G14+N14+O14</f>
        <v>0.15625</v>
      </c>
      <c r="J14" s="29" t="n">
        <f aca="false">R14</f>
        <v>0.166666666666667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0.166666666666667</v>
      </c>
    </row>
    <row r="15" customFormat="false" ht="12.75" hidden="false" customHeight="false" outlineLevel="0" collapsed="false">
      <c r="A15" s="80" t="s">
        <v>20</v>
      </c>
      <c r="B15" s="81" t="s">
        <v>31</v>
      </c>
      <c r="C15" s="25" t="n">
        <v>0.385416666666667</v>
      </c>
      <c r="D15" s="26" t="n">
        <v>0.666666666666667</v>
      </c>
      <c r="E15" s="25" t="n">
        <v>0.510416666666667</v>
      </c>
      <c r="F15" s="27" t="n">
        <v>0.53125</v>
      </c>
      <c r="G15" s="27"/>
      <c r="H15" s="26"/>
      <c r="I15" s="28" t="n">
        <f aca="false">D15-C15-F15+E15-H15+G15+N15+O15</f>
        <v>0.260416666666667</v>
      </c>
      <c r="J15" s="29" t="n">
        <f aca="false">R15</f>
        <v>0.166666666666667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0.166666666666667</v>
      </c>
    </row>
    <row r="16" customFormat="false" ht="12.75" hidden="false" customHeight="false" outlineLevel="0" collapsed="false">
      <c r="A16" s="80" t="s">
        <v>23</v>
      </c>
      <c r="B16" s="81" t="s">
        <v>32</v>
      </c>
      <c r="C16" s="25" t="n">
        <v>0.385416666666667</v>
      </c>
      <c r="D16" s="26" t="n">
        <v>0.510416666666667</v>
      </c>
      <c r="E16" s="25"/>
      <c r="F16" s="27"/>
      <c r="G16" s="27"/>
      <c r="H16" s="26"/>
      <c r="I16" s="28" t="n">
        <f aca="false">D16-C16-F16+E16-H16+G16+N16+O16</f>
        <v>0.125</v>
      </c>
      <c r="J16" s="29" t="n">
        <f aca="false">R16</f>
        <v>0.166666666666667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15</v>
      </c>
      <c r="B17" s="81" t="s">
        <v>34</v>
      </c>
      <c r="C17" s="25" t="n">
        <v>0.375</v>
      </c>
      <c r="D17" s="26" t="n">
        <v>0.5</v>
      </c>
      <c r="E17" s="25"/>
      <c r="F17" s="27"/>
      <c r="G17" s="27"/>
      <c r="H17" s="26"/>
      <c r="I17" s="28" t="n">
        <f aca="false">D17-C17-F17+E17-H17+G17+N17+O17</f>
        <v>0.125</v>
      </c>
      <c r="J17" s="29" t="n">
        <f aca="false">R17</f>
        <v>0.166666666666667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80" t="s">
        <v>18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</v>
      </c>
    </row>
    <row r="19" customFormat="false" ht="12.75" hidden="false" customHeight="false" outlineLevel="0" collapsed="false">
      <c r="A19" s="80" t="s">
        <v>33</v>
      </c>
      <c r="B19" s="81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</v>
      </c>
      <c r="J19" s="29" t="n">
        <f aca="false">R19</f>
        <v>0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</v>
      </c>
    </row>
    <row r="20" customFormat="false" ht="12.75" hidden="false" customHeight="false" outlineLevel="0" collapsed="false">
      <c r="A20" s="80" t="s">
        <v>24</v>
      </c>
      <c r="B20" s="81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</v>
      </c>
    </row>
    <row r="21" customFormat="false" ht="12.75" hidden="false" customHeight="false" outlineLevel="0" collapsed="false">
      <c r="A21" s="80" t="s">
        <v>17</v>
      </c>
      <c r="B21" s="81" t="s">
        <v>40</v>
      </c>
      <c r="C21" s="25" t="n">
        <v>0.354166666666667</v>
      </c>
      <c r="D21" s="26" t="n">
        <v>0.510416666666667</v>
      </c>
      <c r="E21" s="25"/>
      <c r="F21" s="27"/>
      <c r="G21" s="27"/>
      <c r="H21" s="26"/>
      <c r="I21" s="28" t="n">
        <f aca="false">D21-C21-F21+E21-H21+G21+N21+O21</f>
        <v>0.15625</v>
      </c>
      <c r="J21" s="29" t="n">
        <f aca="false">R21</f>
        <v>0.166666666666667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0.166666666666667</v>
      </c>
    </row>
    <row r="22" customFormat="false" ht="12.75" hidden="false" customHeight="false" outlineLevel="0" collapsed="false">
      <c r="A22" s="80" t="s">
        <v>20</v>
      </c>
      <c r="B22" s="81" t="s">
        <v>41</v>
      </c>
      <c r="C22" s="25" t="n">
        <v>0.385416666666667</v>
      </c>
      <c r="D22" s="26" t="n">
        <v>0.666666666666667</v>
      </c>
      <c r="E22" s="25" t="n">
        <v>0.510416666666667</v>
      </c>
      <c r="F22" s="27" t="n">
        <v>0.53125</v>
      </c>
      <c r="G22" s="27"/>
      <c r="H22" s="26"/>
      <c r="I22" s="28" t="n">
        <f aca="false">D22-C22-F22+E22-H22+G22+N22+O22</f>
        <v>0.260416666666667</v>
      </c>
      <c r="J22" s="29" t="n">
        <f aca="false">R22</f>
        <v>0.166666666666667</v>
      </c>
      <c r="K22" s="27" t="s">
        <v>46</v>
      </c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0.166666666666667</v>
      </c>
    </row>
    <row r="23" customFormat="false" ht="12.75" hidden="false" customHeight="false" outlineLevel="0" collapsed="false">
      <c r="A23" s="80" t="s">
        <v>23</v>
      </c>
      <c r="B23" s="81" t="s">
        <v>42</v>
      </c>
      <c r="C23" s="25" t="n">
        <v>0.385416666666667</v>
      </c>
      <c r="D23" s="26" t="n">
        <v>0.510416666666667</v>
      </c>
      <c r="E23" s="25"/>
      <c r="F23" s="27"/>
      <c r="G23" s="27"/>
      <c r="H23" s="26"/>
      <c r="I23" s="28" t="n">
        <f aca="false">D23-C23-F23+E23-H23+G23+N23+O23</f>
        <v>0.125</v>
      </c>
      <c r="J23" s="29" t="n">
        <f aca="false">R23</f>
        <v>0.166666666666667</v>
      </c>
      <c r="K23" s="27" t="s">
        <v>46</v>
      </c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15</v>
      </c>
      <c r="B24" s="81" t="s">
        <v>43</v>
      </c>
      <c r="C24" s="25" t="n">
        <v>0.375</v>
      </c>
      <c r="D24" s="26" t="n">
        <v>0.5</v>
      </c>
      <c r="E24" s="25"/>
      <c r="F24" s="27"/>
      <c r="G24" s="27"/>
      <c r="H24" s="26"/>
      <c r="I24" s="28" t="n">
        <f aca="false">D24-C24-F24+E24-H24+G24+N24+O24</f>
        <v>0.125</v>
      </c>
      <c r="J24" s="29" t="n">
        <f aca="false">R24</f>
        <v>0.166666666666667</v>
      </c>
      <c r="K24" s="27" t="s">
        <v>46</v>
      </c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80" t="s">
        <v>18</v>
      </c>
      <c r="B25" s="81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f aca="false">R25</f>
        <v>0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</v>
      </c>
    </row>
    <row r="26" customFormat="false" ht="12.75" hidden="false" customHeight="false" outlineLevel="0" collapsed="false">
      <c r="A26" s="80" t="s">
        <v>33</v>
      </c>
      <c r="B26" s="81" t="s">
        <v>45</v>
      </c>
      <c r="C26" s="25"/>
      <c r="D26" s="26"/>
      <c r="E26" s="25"/>
      <c r="F26" s="27"/>
      <c r="G26" s="27"/>
      <c r="H26" s="26"/>
      <c r="I26" s="28" t="n">
        <f aca="false">D26-C26-F26+E26-H26+G26+N26+O26</f>
        <v>0</v>
      </c>
      <c r="J26" s="29" t="n">
        <f aca="false">R26</f>
        <v>0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</v>
      </c>
    </row>
    <row r="27" customFormat="false" ht="12.75" hidden="false" customHeight="false" outlineLevel="0" collapsed="false">
      <c r="A27" s="80" t="s">
        <v>24</v>
      </c>
      <c r="B27" s="81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</v>
      </c>
    </row>
    <row r="28" customFormat="false" ht="12.75" hidden="false" customHeight="false" outlineLevel="0" collapsed="false">
      <c r="A28" s="80" t="s">
        <v>17</v>
      </c>
      <c r="B28" s="81" t="s">
        <v>48</v>
      </c>
      <c r="C28" s="25" t="n">
        <v>0.354166666666667</v>
      </c>
      <c r="D28" s="26" t="n">
        <v>0.510416666666667</v>
      </c>
      <c r="E28" s="25"/>
      <c r="F28" s="27"/>
      <c r="G28" s="27"/>
      <c r="H28" s="26"/>
      <c r="I28" s="28" t="n">
        <f aca="false">D28-C28-F28+E28-H28+G28+N28+O28</f>
        <v>0.15625</v>
      </c>
      <c r="J28" s="29" t="n">
        <f aca="false">R28</f>
        <v>0.166666666666667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0.166666666666667</v>
      </c>
    </row>
    <row r="29" customFormat="false" ht="12.75" hidden="false" customHeight="false" outlineLevel="0" collapsed="false">
      <c r="A29" s="80" t="s">
        <v>20</v>
      </c>
      <c r="B29" s="81" t="s">
        <v>49</v>
      </c>
      <c r="C29" s="25" t="n">
        <v>0.385416666666667</v>
      </c>
      <c r="D29" s="26" t="n">
        <v>0.666666666666667</v>
      </c>
      <c r="E29" s="25" t="n">
        <v>0.510416666666667</v>
      </c>
      <c r="F29" s="27" t="n">
        <v>0.53125</v>
      </c>
      <c r="G29" s="27"/>
      <c r="H29" s="26"/>
      <c r="I29" s="28" t="n">
        <f aca="false">D29-C29-F29+E29-H29+G29+N29+O29</f>
        <v>0.260416666666667</v>
      </c>
      <c r="J29" s="29" t="n">
        <f aca="false">R29</f>
        <v>0.166666666666667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0.166666666666667</v>
      </c>
    </row>
    <row r="30" customFormat="false" ht="12.75" hidden="false" customHeight="false" outlineLevel="0" collapsed="false">
      <c r="A30" s="80" t="s">
        <v>23</v>
      </c>
      <c r="B30" s="81" t="s">
        <v>50</v>
      </c>
      <c r="C30" s="25" t="n">
        <v>0.385416666666667</v>
      </c>
      <c r="D30" s="26" t="n">
        <v>0.510416666666667</v>
      </c>
      <c r="E30" s="25"/>
      <c r="F30" s="27"/>
      <c r="G30" s="27"/>
      <c r="H30" s="26"/>
      <c r="I30" s="28" t="n">
        <f aca="false">D30-C30-F30+E30-H30+G30+N30+O30</f>
        <v>0.125</v>
      </c>
      <c r="J30" s="29" t="n">
        <f aca="false">R30</f>
        <v>0.166666666666667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15</v>
      </c>
      <c r="B31" s="81" t="s">
        <v>51</v>
      </c>
      <c r="C31" s="25" t="n">
        <v>0.375</v>
      </c>
      <c r="D31" s="26" t="n">
        <v>0.5</v>
      </c>
      <c r="E31" s="25"/>
      <c r="F31" s="27"/>
      <c r="G31" s="27"/>
      <c r="H31" s="26"/>
      <c r="I31" s="28" t="n">
        <f aca="false">D31-C31-F31+E31-H31+G31+N31+O31</f>
        <v>0.125</v>
      </c>
      <c r="J31" s="29" t="n">
        <f aca="false">R31</f>
        <v>0.166666666666667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80" t="s">
        <v>18</v>
      </c>
      <c r="B32" s="81" t="s">
        <v>52</v>
      </c>
      <c r="C32" s="25"/>
      <c r="D32" s="26"/>
      <c r="E32" s="25"/>
      <c r="F32" s="27"/>
      <c r="G32" s="27"/>
      <c r="H32" s="26"/>
      <c r="I32" s="28" t="n">
        <f aca="false">D32-C32-F32+E32-H32+G32+N32+O32</f>
        <v>0</v>
      </c>
      <c r="J32" s="29" t="n">
        <f aca="false">R32</f>
        <v>0</v>
      </c>
      <c r="K32" s="27" t="s">
        <v>46</v>
      </c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</v>
      </c>
    </row>
    <row r="33" customFormat="false" ht="12.75" hidden="false" customHeight="false" outlineLevel="0" collapsed="false">
      <c r="A33" s="80" t="s">
        <v>33</v>
      </c>
      <c r="B33" s="81" t="s">
        <v>53</v>
      </c>
      <c r="C33" s="25"/>
      <c r="D33" s="26"/>
      <c r="E33" s="25"/>
      <c r="F33" s="27"/>
      <c r="G33" s="27"/>
      <c r="H33" s="26"/>
      <c r="I33" s="28" t="n">
        <f aca="false">D33-C33-F33+E33-H33+G33+N33+O33</f>
        <v>0</v>
      </c>
      <c r="J33" s="29" t="n">
        <f aca="false">R33</f>
        <v>0</v>
      </c>
      <c r="K33" s="27" t="s">
        <v>46</v>
      </c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</v>
      </c>
    </row>
    <row r="34" customFormat="false" ht="12.75" hidden="false" customHeight="false" outlineLevel="0" collapsed="false">
      <c r="A34" s="80" t="s">
        <v>24</v>
      </c>
      <c r="B34" s="81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</v>
      </c>
      <c r="J34" s="29" t="n">
        <f aca="false">R34</f>
        <v>0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</v>
      </c>
    </row>
    <row r="35" customFormat="false" ht="12.75" hidden="false" customHeight="false" outlineLevel="0" collapsed="false">
      <c r="A35" s="80" t="s">
        <v>17</v>
      </c>
      <c r="B35" s="81" t="s">
        <v>55</v>
      </c>
      <c r="C35" s="25" t="n">
        <v>0.354166666666667</v>
      </c>
      <c r="D35" s="26" t="n">
        <v>0.510416666666667</v>
      </c>
      <c r="E35" s="25"/>
      <c r="F35" s="27"/>
      <c r="G35" s="27"/>
      <c r="H35" s="26"/>
      <c r="I35" s="28" t="n">
        <f aca="false">D35-C35-F35+E35-H35+G35+N35+O35</f>
        <v>0.15625</v>
      </c>
      <c r="J35" s="29" t="n">
        <f aca="false">R35</f>
        <v>0.166666666666667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0.166666666666667</v>
      </c>
    </row>
    <row r="36" customFormat="false" ht="12.75" hidden="false" customHeight="false" outlineLevel="0" collapsed="false">
      <c r="A36" s="80" t="s">
        <v>20</v>
      </c>
      <c r="B36" s="81" t="s">
        <v>56</v>
      </c>
      <c r="C36" s="25" t="n">
        <v>0.385416666666667</v>
      </c>
      <c r="D36" s="26" t="n">
        <v>0.666666666666667</v>
      </c>
      <c r="E36" s="25" t="n">
        <v>0.510416666666667</v>
      </c>
      <c r="F36" s="27" t="n">
        <v>0.53125</v>
      </c>
      <c r="G36" s="27"/>
      <c r="H36" s="26"/>
      <c r="I36" s="28" t="n">
        <f aca="false">D36-C36-F36+E36-H36+G36+N36+O36</f>
        <v>0.260416666666667</v>
      </c>
      <c r="J36" s="29" t="n">
        <f aca="false">R36</f>
        <v>0.166666666666667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0.166666666666667</v>
      </c>
    </row>
    <row r="37" customFormat="false" ht="12.75" hidden="false" customHeight="false" outlineLevel="0" collapsed="false">
      <c r="A37" s="83" t="s">
        <v>23</v>
      </c>
      <c r="B37" s="84" t="s">
        <v>57</v>
      </c>
      <c r="C37" s="25" t="n">
        <v>0.385416666666667</v>
      </c>
      <c r="D37" s="26" t="n">
        <v>0.510416666666667</v>
      </c>
      <c r="E37" s="25"/>
      <c r="F37" s="27"/>
      <c r="G37" s="43"/>
      <c r="H37" s="42"/>
      <c r="I37" s="44" t="n">
        <f aca="false">D37-C37-F37+E37-H37+G37+N37+O37</f>
        <v>0.125</v>
      </c>
      <c r="J37" s="45" t="n">
        <f aca="false">R37</f>
        <v>0.166666666666667</v>
      </c>
      <c r="K37" s="43"/>
      <c r="L37" s="46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</row>
    <row r="38" customFormat="false" ht="12.75" hidden="false" customHeight="false" outlineLevel="0" collapsed="false">
      <c r="E38" s="16"/>
      <c r="F38" s="16"/>
      <c r="G38" s="16"/>
      <c r="H38" s="16"/>
      <c r="I38" s="21" t="s">
        <v>12</v>
      </c>
      <c r="J38" s="15" t="s">
        <v>13</v>
      </c>
      <c r="K38" s="4"/>
      <c r="M38" s="32"/>
      <c r="N38" s="1"/>
      <c r="R38" s="4" t="n">
        <f aca="false">IF(A38="Mo",Januar!$Q$8,IF(A38="Di",Januar!$Q$9,IF(A38="Mi",Januar!$Q$10,IF(A38="Do",Januar!$Q$11,IF(A38="Fr",Januar!$Q$12,Januar!$Q$13)))))</f>
        <v>0</v>
      </c>
    </row>
    <row r="39" customFormat="false" ht="12.75" hidden="false" customHeight="false" outlineLevel="0" collapsed="false">
      <c r="E39" s="16" t="s">
        <v>59</v>
      </c>
      <c r="F39" s="16"/>
      <c r="G39" s="16"/>
      <c r="H39" s="16"/>
      <c r="I39" s="47" t="n">
        <f aca="false">SUM(I8:I37)</f>
        <v>3.05208333333333</v>
      </c>
      <c r="J39" s="47" t="n">
        <f aca="false">SUM(J8:J37)</f>
        <v>3</v>
      </c>
    </row>
    <row r="40" customFormat="false" ht="12.75" hidden="false" customHeight="false" outlineLevel="0" collapsed="false">
      <c r="E40" s="16"/>
      <c r="F40" s="16"/>
      <c r="G40" s="16"/>
      <c r="H40" s="16"/>
      <c r="I40" s="47"/>
      <c r="J40" s="47"/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I39</f>
        <v>3.05208333333333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str">
        <f aca="false">August!G50</f>
        <v>00:00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n">
        <f aca="false">August!G51</f>
        <v>2.74375000000001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J39</f>
        <v>3</v>
      </c>
      <c r="H48" s="54"/>
      <c r="J48" s="63" t="str">
        <f aca="false">Januar!J48</f>
        <v>genommener Urlaub</v>
      </c>
      <c r="L48" s="62" t="n">
        <f aca="false">M48+August!L48+0.5*N48</f>
        <v>11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100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17</v>
      </c>
    </row>
    <row r="51" customFormat="false" ht="13.5" hidden="false" customHeight="false" outlineLevel="0" collapsed="false">
      <c r="B51" s="53"/>
      <c r="C51" s="0" t="s">
        <v>101</v>
      </c>
      <c r="F51" s="59" t="s">
        <v>66</v>
      </c>
      <c r="G51" s="69" t="n">
        <f aca="false">IF(G43+G45-G46-G48&lt;0,-1*(G43+G45-G46-G48),"00:00")</f>
        <v>2.69166666666668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D11" activeCellId="0" sqref="D11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true" hidden="false" outlineLevel="0" max="12" min="12" style="0" width="13.1"/>
    <col collapsed="false" customWidth="false" hidden="true" outlineLevel="0" max="18" min="13" style="0" width="11.45"/>
    <col collapsed="false" customWidth="true" hidden="false" outlineLevel="0" max="19" min="19" style="0" width="11.57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 t="s">
        <v>102</v>
      </c>
      <c r="H4" s="5" t="s">
        <v>46</v>
      </c>
      <c r="K4" s="7" t="s">
        <v>3</v>
      </c>
      <c r="L4" s="5" t="s">
        <v>103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15</v>
      </c>
      <c r="B8" s="74" t="s">
        <v>16</v>
      </c>
      <c r="C8" s="25" t="n">
        <v>0.375</v>
      </c>
      <c r="D8" s="26" t="n">
        <v>0.5</v>
      </c>
      <c r="E8" s="25"/>
      <c r="F8" s="27"/>
      <c r="G8" s="27"/>
      <c r="H8" s="26"/>
      <c r="I8" s="28" t="n">
        <f aca="false">D8-C8-F8+E8-H8+G8+N8+O8</f>
        <v>0.125</v>
      </c>
      <c r="J8" s="29" t="n">
        <f aca="false">R8</f>
        <v>0.166666666666667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0.166666666666667</v>
      </c>
    </row>
    <row r="9" customFormat="false" ht="12.75" hidden="false" customHeight="false" outlineLevel="0" collapsed="false">
      <c r="A9" s="80" t="s">
        <v>18</v>
      </c>
      <c r="B9" s="74" t="s">
        <v>19</v>
      </c>
      <c r="C9" s="25"/>
      <c r="D9" s="26"/>
      <c r="E9" s="25"/>
      <c r="F9" s="27"/>
      <c r="G9" s="27"/>
      <c r="H9" s="26"/>
      <c r="I9" s="28" t="n">
        <f aca="false">D9-C9-F9+E9-H9+G9+N9+O9</f>
        <v>0</v>
      </c>
      <c r="J9" s="29" t="n">
        <f aca="false">R9</f>
        <v>0</v>
      </c>
      <c r="K9" s="30" t="s">
        <v>46</v>
      </c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</v>
      </c>
    </row>
    <row r="10" customFormat="false" ht="12.75" hidden="false" customHeight="false" outlineLevel="0" collapsed="false">
      <c r="A10" s="80" t="s">
        <v>33</v>
      </c>
      <c r="B10" s="81" t="s">
        <v>22</v>
      </c>
      <c r="C10" s="25"/>
      <c r="D10" s="26"/>
      <c r="E10" s="25"/>
      <c r="F10" s="27"/>
      <c r="G10" s="27"/>
      <c r="H10" s="26"/>
      <c r="I10" s="28" t="n">
        <v>0</v>
      </c>
      <c r="J10" s="29" t="n">
        <f aca="false">R10</f>
        <v>0</v>
      </c>
      <c r="K10" s="4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</v>
      </c>
    </row>
    <row r="11" customFormat="false" ht="12.75" hidden="false" customHeight="false" outlineLevel="0" collapsed="false">
      <c r="A11" s="80" t="s">
        <v>24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f aca="false">R11</f>
        <v>0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</v>
      </c>
    </row>
    <row r="12" customFormat="false" ht="12.75" hidden="false" customHeight="false" outlineLevel="0" collapsed="false">
      <c r="A12" s="80" t="s">
        <v>17</v>
      </c>
      <c r="B12" s="81" t="s">
        <v>26</v>
      </c>
      <c r="C12" s="25" t="n">
        <v>0.354166666666667</v>
      </c>
      <c r="D12" s="26" t="n">
        <v>0.510416666666667</v>
      </c>
      <c r="E12" s="25"/>
      <c r="F12" s="27"/>
      <c r="G12" s="27"/>
      <c r="H12" s="26"/>
      <c r="I12" s="28" t="n">
        <f aca="false">D12-C12-F12+E12-H12+G12+N12+O12</f>
        <v>0.15625</v>
      </c>
      <c r="J12" s="29" t="n">
        <f aca="false">R12</f>
        <v>0.166666666666667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0.166666666666667</v>
      </c>
    </row>
    <row r="13" customFormat="false" ht="12.75" hidden="false" customHeight="false" outlineLevel="0" collapsed="false">
      <c r="A13" s="80" t="s">
        <v>20</v>
      </c>
      <c r="B13" s="81" t="s">
        <v>28</v>
      </c>
      <c r="C13" s="25" t="n">
        <v>0.385416666666667</v>
      </c>
      <c r="D13" s="26" t="n">
        <v>0.666666666666667</v>
      </c>
      <c r="E13" s="25" t="n">
        <v>0.510416666666667</v>
      </c>
      <c r="F13" s="27" t="n">
        <v>0.53125</v>
      </c>
      <c r="G13" s="27"/>
      <c r="H13" s="26"/>
      <c r="I13" s="28" t="n">
        <f aca="false">D13-C13-F13+E13-H13+G13+N13+O13</f>
        <v>0.260416666666667</v>
      </c>
      <c r="J13" s="29" t="n">
        <f aca="false">R13</f>
        <v>0.166666666666667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0.166666666666667</v>
      </c>
    </row>
    <row r="14" customFormat="false" ht="12.75" hidden="false" customHeight="false" outlineLevel="0" collapsed="false">
      <c r="A14" s="80" t="s">
        <v>23</v>
      </c>
      <c r="B14" s="81" t="s">
        <v>30</v>
      </c>
      <c r="C14" s="25" t="n">
        <v>0.385416666666667</v>
      </c>
      <c r="D14" s="26" t="n">
        <v>0.510416666666667</v>
      </c>
      <c r="E14" s="25"/>
      <c r="F14" s="27"/>
      <c r="G14" s="27"/>
      <c r="H14" s="26"/>
      <c r="I14" s="28" t="n">
        <f aca="false">D14-C14-F14+E14-H14+G14+N14+O14</f>
        <v>0.125</v>
      </c>
      <c r="J14" s="29" t="n">
        <f aca="false">R14</f>
        <v>0.166666666666667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0.166666666666667</v>
      </c>
    </row>
    <row r="15" customFormat="false" ht="12.75" hidden="false" customHeight="false" outlineLevel="0" collapsed="false">
      <c r="A15" s="80" t="s">
        <v>15</v>
      </c>
      <c r="B15" s="81" t="s">
        <v>31</v>
      </c>
      <c r="C15" s="25" t="n">
        <v>0.375</v>
      </c>
      <c r="D15" s="26" t="n">
        <v>0.5</v>
      </c>
      <c r="E15" s="25"/>
      <c r="F15" s="27"/>
      <c r="G15" s="27"/>
      <c r="H15" s="26"/>
      <c r="I15" s="28" t="n">
        <f aca="false">D15-C15-F15+E15-H15+G15+N15+O15</f>
        <v>0.125</v>
      </c>
      <c r="J15" s="29" t="n">
        <f aca="false">R15</f>
        <v>0.166666666666667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0.166666666666667</v>
      </c>
    </row>
    <row r="16" customFormat="false" ht="12.75" hidden="false" customHeight="false" outlineLevel="0" collapsed="false">
      <c r="A16" s="80" t="s">
        <v>18</v>
      </c>
      <c r="B16" s="81" t="s">
        <v>32</v>
      </c>
      <c r="C16" s="25"/>
      <c r="D16" s="26"/>
      <c r="E16" s="25"/>
      <c r="F16" s="27"/>
      <c r="G16" s="27"/>
      <c r="H16" s="26"/>
      <c r="I16" s="28" t="n">
        <f aca="false">D16-C16-F16+E16-H16+G16+N16+O16</f>
        <v>0</v>
      </c>
      <c r="J16" s="29" t="n">
        <f aca="false">R16</f>
        <v>0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</v>
      </c>
    </row>
    <row r="17" customFormat="false" ht="12.75" hidden="false" customHeight="false" outlineLevel="0" collapsed="false">
      <c r="A17" s="80" t="s">
        <v>33</v>
      </c>
      <c r="B17" s="81" t="s">
        <v>34</v>
      </c>
      <c r="C17" s="25"/>
      <c r="D17" s="26"/>
      <c r="E17" s="25"/>
      <c r="F17" s="27"/>
      <c r="G17" s="27"/>
      <c r="H17" s="26"/>
      <c r="I17" s="28" t="n">
        <f aca="false">D17-C17-F17+E17-H17+G17+N17+O17</f>
        <v>0</v>
      </c>
      <c r="J17" s="29" t="n">
        <f aca="false">R17</f>
        <v>0</v>
      </c>
      <c r="K17" s="30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</v>
      </c>
    </row>
    <row r="18" customFormat="false" ht="12.75" hidden="false" customHeight="false" outlineLevel="0" collapsed="false">
      <c r="A18" s="80" t="s">
        <v>24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</v>
      </c>
    </row>
    <row r="19" customFormat="false" ht="12.75" hidden="false" customHeight="false" outlineLevel="0" collapsed="false">
      <c r="A19" s="80" t="s">
        <v>17</v>
      </c>
      <c r="B19" s="81" t="s">
        <v>36</v>
      </c>
      <c r="C19" s="25" t="n">
        <v>0.354166666666667</v>
      </c>
      <c r="D19" s="26" t="n">
        <v>0.510416666666667</v>
      </c>
      <c r="E19" s="25"/>
      <c r="F19" s="27"/>
      <c r="G19" s="27"/>
      <c r="H19" s="26"/>
      <c r="I19" s="28" t="n">
        <f aca="false">D19-C19-F19+E19-H19+G19+N19+O19</f>
        <v>0.15625</v>
      </c>
      <c r="J19" s="29" t="n">
        <f aca="false">R19</f>
        <v>0.166666666666667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0.166666666666667</v>
      </c>
    </row>
    <row r="20" customFormat="false" ht="12.75" hidden="false" customHeight="false" outlineLevel="0" collapsed="false">
      <c r="A20" s="80" t="s">
        <v>20</v>
      </c>
      <c r="B20" s="81" t="s">
        <v>38</v>
      </c>
      <c r="C20" s="25" t="n">
        <v>0.385416666666667</v>
      </c>
      <c r="D20" s="26" t="n">
        <v>0.666666666666667</v>
      </c>
      <c r="E20" s="25" t="n">
        <v>0.510416666666667</v>
      </c>
      <c r="F20" s="27" t="n">
        <v>0.53125</v>
      </c>
      <c r="G20" s="27"/>
      <c r="H20" s="26"/>
      <c r="I20" s="28" t="n">
        <f aca="false">D20-C20-F20+E20-H20+G20+N20+O20</f>
        <v>0.260416666666667</v>
      </c>
      <c r="J20" s="29" t="n">
        <f aca="false">R20</f>
        <v>0.166666666666667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0.166666666666667</v>
      </c>
    </row>
    <row r="21" customFormat="false" ht="12.75" hidden="false" customHeight="false" outlineLevel="0" collapsed="false">
      <c r="A21" s="80" t="s">
        <v>23</v>
      </c>
      <c r="B21" s="81" t="s">
        <v>40</v>
      </c>
      <c r="C21" s="25" t="n">
        <v>0.385416666666667</v>
      </c>
      <c r="D21" s="26" t="n">
        <v>0.510416666666667</v>
      </c>
      <c r="E21" s="25"/>
      <c r="F21" s="27"/>
      <c r="G21" s="27"/>
      <c r="H21" s="26"/>
      <c r="I21" s="28" t="n">
        <f aca="false">D21-C21-F21+E21-H21+G21+N21+O21</f>
        <v>0.125</v>
      </c>
      <c r="J21" s="29" t="n">
        <f aca="false">R21</f>
        <v>0.166666666666667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0.166666666666667</v>
      </c>
    </row>
    <row r="22" customFormat="false" ht="12.75" hidden="false" customHeight="false" outlineLevel="0" collapsed="false">
      <c r="A22" s="80" t="s">
        <v>15</v>
      </c>
      <c r="B22" s="81" t="s">
        <v>41</v>
      </c>
      <c r="C22" s="25" t="n">
        <v>0.375</v>
      </c>
      <c r="D22" s="26" t="n">
        <v>0.5</v>
      </c>
      <c r="E22" s="25"/>
      <c r="F22" s="27"/>
      <c r="G22" s="27"/>
      <c r="H22" s="26"/>
      <c r="I22" s="28" t="n">
        <f aca="false">D22-C22-F22+E22-H22+G22+N22+O22</f>
        <v>0.125</v>
      </c>
      <c r="J22" s="29" t="n">
        <f aca="false">R22</f>
        <v>0.166666666666667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0.166666666666667</v>
      </c>
    </row>
    <row r="23" customFormat="false" ht="12.75" hidden="false" customHeight="false" outlineLevel="0" collapsed="false">
      <c r="A23" s="80" t="s">
        <v>18</v>
      </c>
      <c r="B23" s="81" t="s">
        <v>42</v>
      </c>
      <c r="C23" s="25"/>
      <c r="D23" s="26"/>
      <c r="E23" s="25"/>
      <c r="F23" s="27"/>
      <c r="G23" s="27"/>
      <c r="H23" s="26"/>
      <c r="I23" s="28" t="n">
        <f aca="false">D23-C23-F23+E23-H23+G23+N23+O23</f>
        <v>0</v>
      </c>
      <c r="J23" s="29" t="n">
        <f aca="false">R23</f>
        <v>0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</v>
      </c>
    </row>
    <row r="24" customFormat="false" ht="12.75" hidden="false" customHeight="false" outlineLevel="0" collapsed="false">
      <c r="A24" s="80" t="s">
        <v>33</v>
      </c>
      <c r="B24" s="81" t="s">
        <v>43</v>
      </c>
      <c r="C24" s="25"/>
      <c r="D24" s="26"/>
      <c r="E24" s="25"/>
      <c r="F24" s="27"/>
      <c r="G24" s="27"/>
      <c r="H24" s="26"/>
      <c r="I24" s="28" t="n">
        <f aca="false">D24-C24-F24+E24-H24+G24+N24+O24</f>
        <v>0</v>
      </c>
      <c r="J24" s="29" t="n">
        <f aca="false">R24</f>
        <v>0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</v>
      </c>
    </row>
    <row r="25" customFormat="false" ht="12.75" hidden="false" customHeight="false" outlineLevel="0" collapsed="false">
      <c r="A25" s="80" t="s">
        <v>24</v>
      </c>
      <c r="B25" s="81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f aca="false">R25</f>
        <v>0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</v>
      </c>
    </row>
    <row r="26" customFormat="false" ht="12.75" hidden="false" customHeight="false" outlineLevel="0" collapsed="false">
      <c r="A26" s="80" t="s">
        <v>17</v>
      </c>
      <c r="B26" s="81" t="s">
        <v>45</v>
      </c>
      <c r="C26" s="25" t="n">
        <v>0.354166666666667</v>
      </c>
      <c r="D26" s="26" t="n">
        <v>0.510416666666667</v>
      </c>
      <c r="E26" s="25"/>
      <c r="F26" s="27"/>
      <c r="G26" s="27"/>
      <c r="H26" s="26"/>
      <c r="I26" s="28" t="n">
        <f aca="false">D26-C26-F26+E26-H26+G26+N26+O26</f>
        <v>0.15625</v>
      </c>
      <c r="J26" s="29" t="n">
        <f aca="false">R26</f>
        <v>0.166666666666667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0.166666666666667</v>
      </c>
    </row>
    <row r="27" customFormat="false" ht="12.75" hidden="false" customHeight="false" outlineLevel="0" collapsed="false">
      <c r="A27" s="80" t="s">
        <v>20</v>
      </c>
      <c r="B27" s="81" t="s">
        <v>47</v>
      </c>
      <c r="C27" s="25" t="n">
        <v>0.385416666666667</v>
      </c>
      <c r="D27" s="26" t="n">
        <v>0.666666666666667</v>
      </c>
      <c r="E27" s="25" t="n">
        <v>0.510416666666667</v>
      </c>
      <c r="F27" s="27" t="n">
        <v>0.53125</v>
      </c>
      <c r="G27" s="27"/>
      <c r="H27" s="26"/>
      <c r="I27" s="28" t="n">
        <f aca="false">D27-C27-F27+E27-H27+G27+N27+O27</f>
        <v>0.260416666666667</v>
      </c>
      <c r="J27" s="29" t="n">
        <f aca="false">R27</f>
        <v>0.166666666666667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0.166666666666667</v>
      </c>
    </row>
    <row r="28" customFormat="false" ht="12.75" hidden="false" customHeight="false" outlineLevel="0" collapsed="false">
      <c r="A28" s="80" t="s">
        <v>23</v>
      </c>
      <c r="B28" s="81" t="s">
        <v>48</v>
      </c>
      <c r="C28" s="25" t="n">
        <v>0.385416666666667</v>
      </c>
      <c r="D28" s="26" t="n">
        <v>0.510416666666667</v>
      </c>
      <c r="E28" s="25"/>
      <c r="F28" s="27"/>
      <c r="G28" s="27"/>
      <c r="H28" s="26"/>
      <c r="I28" s="28" t="n">
        <f aca="false">D28-C28-F28+E28-H28+G28+N28+O28</f>
        <v>0.125</v>
      </c>
      <c r="J28" s="29" t="n">
        <f aca="false">R28</f>
        <v>0.166666666666667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0.166666666666667</v>
      </c>
    </row>
    <row r="29" customFormat="false" ht="12.75" hidden="false" customHeight="false" outlineLevel="0" collapsed="false">
      <c r="A29" s="80" t="s">
        <v>15</v>
      </c>
      <c r="B29" s="81" t="s">
        <v>49</v>
      </c>
      <c r="C29" s="25" t="n">
        <v>0.375</v>
      </c>
      <c r="D29" s="26" t="n">
        <v>0.5</v>
      </c>
      <c r="E29" s="25"/>
      <c r="F29" s="27"/>
      <c r="G29" s="27"/>
      <c r="H29" s="26"/>
      <c r="I29" s="28" t="n">
        <f aca="false">D29-C29-F29+E29-H29+G29+N29+O29</f>
        <v>0.125</v>
      </c>
      <c r="J29" s="29" t="n">
        <f aca="false">R29</f>
        <v>0.166666666666667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0.166666666666667</v>
      </c>
    </row>
    <row r="30" customFormat="false" ht="12.75" hidden="false" customHeight="false" outlineLevel="0" collapsed="false">
      <c r="A30" s="80" t="s">
        <v>18</v>
      </c>
      <c r="B30" s="81" t="s">
        <v>50</v>
      </c>
      <c r="C30" s="25"/>
      <c r="D30" s="26"/>
      <c r="E30" s="25"/>
      <c r="F30" s="27"/>
      <c r="G30" s="27"/>
      <c r="H30" s="26"/>
      <c r="I30" s="28" t="n">
        <f aca="false">D30-C30-F30+E30-H30+G30+N30+O30</f>
        <v>0</v>
      </c>
      <c r="J30" s="29" t="n">
        <f aca="false">R30</f>
        <v>0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</v>
      </c>
    </row>
    <row r="31" customFormat="false" ht="12.75" hidden="false" customHeight="false" outlineLevel="0" collapsed="false">
      <c r="A31" s="80" t="s">
        <v>33</v>
      </c>
      <c r="B31" s="81" t="s">
        <v>51</v>
      </c>
      <c r="C31" s="25"/>
      <c r="D31" s="26"/>
      <c r="E31" s="25"/>
      <c r="F31" s="27"/>
      <c r="G31" s="27"/>
      <c r="H31" s="26"/>
      <c r="I31" s="28" t="n">
        <f aca="false">D31-C31-F31+E31-H31+G31+N31+O31</f>
        <v>0</v>
      </c>
      <c r="J31" s="29" t="n">
        <f aca="false">R31</f>
        <v>0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</v>
      </c>
    </row>
    <row r="32" customFormat="false" ht="12.75" hidden="false" customHeight="false" outlineLevel="0" collapsed="false">
      <c r="A32" s="80" t="s">
        <v>24</v>
      </c>
      <c r="B32" s="81" t="s">
        <v>52</v>
      </c>
      <c r="C32" s="25"/>
      <c r="D32" s="26"/>
      <c r="E32" s="25"/>
      <c r="F32" s="27"/>
      <c r="G32" s="27"/>
      <c r="H32" s="26"/>
      <c r="I32" s="28" t="n">
        <f aca="false">D32-C32-F32+E32-H32+G32+N32+O32</f>
        <v>0</v>
      </c>
      <c r="J32" s="29" t="n">
        <f aca="false">R32</f>
        <v>0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</v>
      </c>
    </row>
    <row r="33" customFormat="false" ht="12.75" hidden="false" customHeight="false" outlineLevel="0" collapsed="false">
      <c r="A33" s="80" t="s">
        <v>17</v>
      </c>
      <c r="B33" s="81" t="s">
        <v>53</v>
      </c>
      <c r="C33" s="25" t="n">
        <v>0.354166666666667</v>
      </c>
      <c r="D33" s="26" t="n">
        <v>0.510416666666667</v>
      </c>
      <c r="E33" s="25"/>
      <c r="F33" s="27"/>
      <c r="G33" s="27"/>
      <c r="H33" s="26"/>
      <c r="I33" s="28" t="n">
        <f aca="false">D33-C33-F33+E33-H33+G33+N33+O33</f>
        <v>0.15625</v>
      </c>
      <c r="J33" s="29" t="n">
        <f aca="false">R33</f>
        <v>0.166666666666667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0.166666666666667</v>
      </c>
    </row>
    <row r="34" customFormat="false" ht="12.75" hidden="false" customHeight="false" outlineLevel="0" collapsed="false">
      <c r="A34" s="80" t="s">
        <v>20</v>
      </c>
      <c r="B34" s="81" t="s">
        <v>54</v>
      </c>
      <c r="C34" s="25" t="n">
        <v>0.385416666666667</v>
      </c>
      <c r="D34" s="26" t="n">
        <v>0.666666666666667</v>
      </c>
      <c r="E34" s="25" t="n">
        <v>0.510416666666667</v>
      </c>
      <c r="F34" s="27" t="n">
        <v>0.53125</v>
      </c>
      <c r="G34" s="27"/>
      <c r="H34" s="26"/>
      <c r="I34" s="28" t="n">
        <v>0</v>
      </c>
      <c r="J34" s="29" t="n">
        <f aca="false">R34</f>
        <v>0.166666666666667</v>
      </c>
      <c r="K34" s="27" t="s">
        <v>46</v>
      </c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0.166666666666667</v>
      </c>
    </row>
    <row r="35" customFormat="false" ht="12.75" hidden="false" customHeight="false" outlineLevel="0" collapsed="false">
      <c r="A35" s="80" t="s">
        <v>23</v>
      </c>
      <c r="B35" s="81" t="s">
        <v>55</v>
      </c>
      <c r="C35" s="25" t="n">
        <v>0.385416666666667</v>
      </c>
      <c r="D35" s="26" t="n">
        <v>0.510416666666667</v>
      </c>
      <c r="E35" s="25"/>
      <c r="F35" s="27"/>
      <c r="G35" s="27"/>
      <c r="H35" s="26"/>
      <c r="I35" s="28" t="n">
        <f aca="false">D35-C35-F35+E35-H35+G35+N35+O35</f>
        <v>0.125</v>
      </c>
      <c r="J35" s="29" t="n">
        <f aca="false">R35</f>
        <v>0.166666666666667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0.166666666666667</v>
      </c>
    </row>
    <row r="36" customFormat="false" ht="12.75" hidden="false" customHeight="false" outlineLevel="0" collapsed="false">
      <c r="A36" s="80" t="s">
        <v>15</v>
      </c>
      <c r="B36" s="81" t="s">
        <v>56</v>
      </c>
      <c r="C36" s="25" t="n">
        <v>0.375</v>
      </c>
      <c r="D36" s="26" t="n">
        <v>0.5</v>
      </c>
      <c r="E36" s="25"/>
      <c r="F36" s="27"/>
      <c r="G36" s="27"/>
      <c r="H36" s="26"/>
      <c r="I36" s="28" t="n">
        <f aca="false">D36-C36-F36+E36-H36+G36+N36+O36</f>
        <v>0.125</v>
      </c>
      <c r="J36" s="29" t="n">
        <f aca="false">R36</f>
        <v>0.166666666666667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0.166666666666667</v>
      </c>
    </row>
    <row r="37" customFormat="false" ht="12.75" hidden="false" customHeight="false" outlineLevel="0" collapsed="false">
      <c r="A37" s="80" t="s">
        <v>18</v>
      </c>
      <c r="B37" s="81" t="s">
        <v>57</v>
      </c>
      <c r="C37" s="25"/>
      <c r="D37" s="26"/>
      <c r="E37" s="25"/>
      <c r="F37" s="27"/>
      <c r="G37" s="27"/>
      <c r="H37" s="26"/>
      <c r="I37" s="28" t="n">
        <f aca="false">D37-C37-F37+E37-H37+G37+N37+O37</f>
        <v>0</v>
      </c>
      <c r="J37" s="29" t="n">
        <f aca="false">R37</f>
        <v>0</v>
      </c>
      <c r="K37" s="27"/>
      <c r="L37" s="31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</v>
      </c>
    </row>
    <row r="38" customFormat="false" ht="12.75" hidden="false" customHeight="false" outlineLevel="0" collapsed="false">
      <c r="A38" s="80" t="s">
        <v>33</v>
      </c>
      <c r="B38" s="84" t="s">
        <v>58</v>
      </c>
      <c r="C38" s="41"/>
      <c r="D38" s="42"/>
      <c r="E38" s="41"/>
      <c r="F38" s="43"/>
      <c r="G38" s="43"/>
      <c r="H38" s="42"/>
      <c r="I38" s="44" t="n">
        <f aca="false">D38-C38-F38+E38-H38+G38+N38+O38</f>
        <v>0</v>
      </c>
      <c r="J38" s="45" t="n">
        <f aca="false">R38</f>
        <v>0</v>
      </c>
      <c r="K38" s="43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IF(A38="Mo",Januar!$Q$8,IF(A38="Di",Januar!$Q$9,IF(A38="Mi",Januar!$Q$10,IF(A38="Do",Januar!$Q$11,IF(A38="Fr",Januar!$Q$12,Januar!$Q$13)))))</f>
        <v>0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2.53125</v>
      </c>
      <c r="J40" s="47" t="n">
        <f aca="false">SUM(J8:J38)</f>
        <v>2.83333333333333</v>
      </c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2.53125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n">
        <v>0.996527777777778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n">
        <f aca="false">September!G51</f>
        <v>2.69166666666668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2.83333333333333</v>
      </c>
      <c r="H48" s="54"/>
      <c r="J48" s="63" t="str">
        <f aca="false">Januar!J48</f>
        <v>genommener Urlaub</v>
      </c>
      <c r="L48" s="62" t="n">
        <f aca="false">M48+September!L48+0.5*N48</f>
        <v>11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104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17</v>
      </c>
    </row>
    <row r="51" customFormat="false" ht="13.5" hidden="false" customHeight="false" outlineLevel="0" collapsed="false">
      <c r="B51" s="53"/>
      <c r="C51" s="0" t="s">
        <v>105</v>
      </c>
      <c r="F51" s="59" t="s">
        <v>66</v>
      </c>
      <c r="G51" s="69" t="n">
        <f aca="false">IF(G43+G45-G46-G48&lt;0,-1*(G43+G45-G46-G48),"00:00")</f>
        <v>1.99722222222223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" activeCellId="0" sqref="D34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false" hidden="true" outlineLevel="0" max="18" min="13" style="0" width="11.45"/>
    <col collapsed="false" customWidth="false" hidden="true" outlineLevel="0" max="19" min="19" style="0" width="11.52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s">
        <v>46</v>
      </c>
      <c r="K4" s="7" t="s">
        <v>3</v>
      </c>
      <c r="L4" s="5" t="s">
        <v>106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0" t="s">
        <v>13</v>
      </c>
      <c r="K7" s="22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24</v>
      </c>
      <c r="B8" s="74" t="s">
        <v>16</v>
      </c>
      <c r="C8" s="25"/>
      <c r="D8" s="26"/>
      <c r="E8" s="25"/>
      <c r="F8" s="27"/>
      <c r="G8" s="27"/>
      <c r="H8" s="26"/>
      <c r="I8" s="28" t="n">
        <f aca="false">D8-C8-F8+E8-H8+G8+N8+O8</f>
        <v>0</v>
      </c>
      <c r="J8" s="29" t="n">
        <f aca="false">R8</f>
        <v>0</v>
      </c>
      <c r="K8" s="30"/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</v>
      </c>
    </row>
    <row r="9" customFormat="false" ht="12.75" hidden="false" customHeight="false" outlineLevel="0" collapsed="false">
      <c r="A9" s="80" t="s">
        <v>17</v>
      </c>
      <c r="B9" s="74" t="s">
        <v>19</v>
      </c>
      <c r="C9" s="25" t="n">
        <v>0.354166666666667</v>
      </c>
      <c r="D9" s="26" t="n">
        <v>0.510416666666667</v>
      </c>
      <c r="E9" s="25"/>
      <c r="F9" s="27"/>
      <c r="G9" s="27"/>
      <c r="H9" s="26"/>
      <c r="I9" s="28" t="n">
        <f aca="false">D9-C9-F9+E9-H9+G9+N9+O9</f>
        <v>0.15625</v>
      </c>
      <c r="J9" s="29" t="n">
        <f aca="false">R9</f>
        <v>0.166666666666667</v>
      </c>
      <c r="K9" s="4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20</v>
      </c>
      <c r="B10" s="81" t="s">
        <v>22</v>
      </c>
      <c r="C10" s="25" t="n">
        <v>0.385416666666667</v>
      </c>
      <c r="D10" s="26" t="n">
        <v>0.666666666666667</v>
      </c>
      <c r="E10" s="25" t="n">
        <v>0.510416666666667</v>
      </c>
      <c r="F10" s="27" t="n">
        <v>0.53125</v>
      </c>
      <c r="G10" s="27"/>
      <c r="H10" s="26"/>
      <c r="I10" s="28" t="n">
        <f aca="false">D10-C10-F10+E10-H10+G10+N10+O10</f>
        <v>0.260416666666667</v>
      </c>
      <c r="J10" s="29" t="n">
        <f aca="false">R10</f>
        <v>0.25</v>
      </c>
      <c r="K10" s="30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v>0.25</v>
      </c>
    </row>
    <row r="11" customFormat="false" ht="12.75" hidden="false" customHeight="false" outlineLevel="0" collapsed="false">
      <c r="A11" s="80" t="s">
        <v>23</v>
      </c>
      <c r="B11" s="81" t="s">
        <v>25</v>
      </c>
      <c r="C11" s="25" t="n">
        <v>0.385416666666667</v>
      </c>
      <c r="D11" s="26" t="n">
        <v>0.510416666666667</v>
      </c>
      <c r="E11" s="25"/>
      <c r="F11" s="27"/>
      <c r="G11" s="27"/>
      <c r="H11" s="26"/>
      <c r="I11" s="28" t="n">
        <f aca="false">D11-C11-F11+E11-H11+G11+N11+O11</f>
        <v>0.125</v>
      </c>
      <c r="J11" s="29" t="n">
        <f aca="false">R11</f>
        <v>0.166666666666667</v>
      </c>
      <c r="K11" s="30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0.166666666666667</v>
      </c>
    </row>
    <row r="12" customFormat="false" ht="12.75" hidden="false" customHeight="false" outlineLevel="0" collapsed="false">
      <c r="A12" s="80" t="s">
        <v>15</v>
      </c>
      <c r="B12" s="81" t="s">
        <v>26</v>
      </c>
      <c r="C12" s="25" t="n">
        <v>0.375</v>
      </c>
      <c r="D12" s="26" t="n">
        <v>0.5</v>
      </c>
      <c r="E12" s="25"/>
      <c r="F12" s="27"/>
      <c r="G12" s="27"/>
      <c r="H12" s="26"/>
      <c r="I12" s="28" t="n">
        <f aca="false">D12-C12-F12+E12-H12+G12+N12+O12</f>
        <v>0.125</v>
      </c>
      <c r="J12" s="29" t="n">
        <f aca="false">R12</f>
        <v>0.166666666666667</v>
      </c>
      <c r="K12" s="30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0.166666666666667</v>
      </c>
    </row>
    <row r="13" customFormat="false" ht="12.75" hidden="false" customHeight="false" outlineLevel="0" collapsed="false">
      <c r="A13" s="80" t="s">
        <v>18</v>
      </c>
      <c r="B13" s="81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</v>
      </c>
      <c r="J13" s="29" t="n">
        <f aca="false">R13</f>
        <v>0</v>
      </c>
      <c r="K13" s="30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</v>
      </c>
    </row>
    <row r="14" customFormat="false" ht="12.75" hidden="false" customHeight="false" outlineLevel="0" collapsed="false">
      <c r="A14" s="80" t="s">
        <v>33</v>
      </c>
      <c r="B14" s="81" t="s">
        <v>30</v>
      </c>
      <c r="C14" s="25"/>
      <c r="D14" s="26"/>
      <c r="E14" s="25"/>
      <c r="F14" s="27"/>
      <c r="G14" s="27"/>
      <c r="H14" s="26"/>
      <c r="I14" s="28" t="n">
        <f aca="false">D14-C14-F14+E14-H14+G14+N14+O14</f>
        <v>0</v>
      </c>
      <c r="J14" s="29" t="n">
        <f aca="false">R14</f>
        <v>0</v>
      </c>
      <c r="K14" s="30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</v>
      </c>
    </row>
    <row r="15" customFormat="false" ht="12.75" hidden="false" customHeight="false" outlineLevel="0" collapsed="false">
      <c r="A15" s="80" t="s">
        <v>24</v>
      </c>
      <c r="B15" s="81" t="s">
        <v>31</v>
      </c>
      <c r="C15" s="25"/>
      <c r="D15" s="26"/>
      <c r="E15" s="25"/>
      <c r="F15" s="27"/>
      <c r="G15" s="27"/>
      <c r="H15" s="26"/>
      <c r="I15" s="28" t="n">
        <f aca="false">D15-C15-F15+E15-H15+G15+N15+O15</f>
        <v>0</v>
      </c>
      <c r="J15" s="29" t="n">
        <f aca="false">R15</f>
        <v>0</v>
      </c>
      <c r="K15" s="30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</v>
      </c>
    </row>
    <row r="16" customFormat="false" ht="12.75" hidden="false" customHeight="false" outlineLevel="0" collapsed="false">
      <c r="A16" s="80" t="s">
        <v>17</v>
      </c>
      <c r="B16" s="81" t="s">
        <v>32</v>
      </c>
      <c r="C16" s="25" t="n">
        <v>0.354166666666667</v>
      </c>
      <c r="D16" s="26" t="n">
        <v>0.510416666666667</v>
      </c>
      <c r="E16" s="25"/>
      <c r="F16" s="27"/>
      <c r="G16" s="27"/>
      <c r="H16" s="26"/>
      <c r="I16" s="28" t="n">
        <f aca="false">D16-C16-F16+E16-H16+G16+N16+O16</f>
        <v>0.15625</v>
      </c>
      <c r="J16" s="29" t="n">
        <f aca="false">R16</f>
        <v>0.166666666666667</v>
      </c>
      <c r="K16" s="30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20</v>
      </c>
      <c r="B17" s="81" t="s">
        <v>34</v>
      </c>
      <c r="C17" s="25" t="n">
        <v>0.385416666666667</v>
      </c>
      <c r="D17" s="26" t="n">
        <v>0.666666666666667</v>
      </c>
      <c r="E17" s="25" t="n">
        <v>0.510416666666667</v>
      </c>
      <c r="F17" s="27" t="n">
        <v>0.53125</v>
      </c>
      <c r="G17" s="27"/>
      <c r="H17" s="26"/>
      <c r="I17" s="28" t="n">
        <f aca="false">D17-C17-F17+E17-H17+G17+N17+O17</f>
        <v>0.260416666666667</v>
      </c>
      <c r="J17" s="29" t="n">
        <f aca="false">R17</f>
        <v>0.166666666666667</v>
      </c>
      <c r="K17" s="30" t="s">
        <v>46</v>
      </c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80" t="s">
        <v>23</v>
      </c>
      <c r="B18" s="81" t="s">
        <v>35</v>
      </c>
      <c r="C18" s="25" t="n">
        <v>0.385416666666667</v>
      </c>
      <c r="D18" s="26" t="n">
        <v>0.510416666666667</v>
      </c>
      <c r="E18" s="25"/>
      <c r="F18" s="27"/>
      <c r="G18" s="27"/>
      <c r="H18" s="26"/>
      <c r="I18" s="28" t="n">
        <f aca="false">D18-C18-F18+E18-H18+G18+N18+O18</f>
        <v>0.125</v>
      </c>
      <c r="J18" s="29" t="n">
        <f aca="false">R18</f>
        <v>0.166666666666667</v>
      </c>
      <c r="K18" s="30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0.166666666666667</v>
      </c>
    </row>
    <row r="19" customFormat="false" ht="12.75" hidden="false" customHeight="false" outlineLevel="0" collapsed="false">
      <c r="A19" s="80" t="s">
        <v>15</v>
      </c>
      <c r="B19" s="81" t="s">
        <v>36</v>
      </c>
      <c r="C19" s="25" t="n">
        <v>0.375</v>
      </c>
      <c r="D19" s="26" t="n">
        <v>0.5</v>
      </c>
      <c r="E19" s="25"/>
      <c r="F19" s="27"/>
      <c r="G19" s="27"/>
      <c r="H19" s="26"/>
      <c r="I19" s="28" t="n">
        <f aca="false">D19-C19-F19+E19-H19+G19+N19+O19</f>
        <v>0.125</v>
      </c>
      <c r="J19" s="29" t="n">
        <f aca="false">R19</f>
        <v>0.166666666666667</v>
      </c>
      <c r="K19" s="30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0.166666666666667</v>
      </c>
    </row>
    <row r="20" customFormat="false" ht="12.75" hidden="false" customHeight="false" outlineLevel="0" collapsed="false">
      <c r="A20" s="80" t="s">
        <v>18</v>
      </c>
      <c r="B20" s="81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</v>
      </c>
      <c r="K20" s="30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</v>
      </c>
    </row>
    <row r="21" customFormat="false" ht="12.75" hidden="false" customHeight="false" outlineLevel="0" collapsed="false">
      <c r="A21" s="80" t="s">
        <v>33</v>
      </c>
      <c r="B21" s="81" t="s">
        <v>40</v>
      </c>
      <c r="C21" s="25"/>
      <c r="D21" s="26"/>
      <c r="E21" s="25"/>
      <c r="F21" s="27"/>
      <c r="G21" s="27"/>
      <c r="H21" s="26"/>
      <c r="I21" s="28" t="n">
        <f aca="false">D21-C21-F21+E21-H21+G21+N21+O21</f>
        <v>0</v>
      </c>
      <c r="J21" s="29" t="n">
        <f aca="false">R21</f>
        <v>0</v>
      </c>
      <c r="K21" s="27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</v>
      </c>
    </row>
    <row r="22" customFormat="false" ht="12.75" hidden="false" customHeight="false" outlineLevel="0" collapsed="false">
      <c r="A22" s="80" t="s">
        <v>24</v>
      </c>
      <c r="B22" s="81" t="s">
        <v>41</v>
      </c>
      <c r="C22" s="25"/>
      <c r="D22" s="26"/>
      <c r="E22" s="25"/>
      <c r="F22" s="27"/>
      <c r="G22" s="27"/>
      <c r="H22" s="26"/>
      <c r="I22" s="28" t="n">
        <f aca="false">D22-C22-F22+E22-H22+G22+N22+O22</f>
        <v>0</v>
      </c>
      <c r="J22" s="29" t="n">
        <f aca="false">R22</f>
        <v>0</v>
      </c>
      <c r="K22" s="27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</v>
      </c>
    </row>
    <row r="23" customFormat="false" ht="12.75" hidden="false" customHeight="false" outlineLevel="0" collapsed="false">
      <c r="A23" s="80" t="s">
        <v>17</v>
      </c>
      <c r="B23" s="81" t="s">
        <v>42</v>
      </c>
      <c r="C23" s="25" t="n">
        <v>0.354166666666667</v>
      </c>
      <c r="D23" s="26" t="n">
        <v>0.510416666666667</v>
      </c>
      <c r="E23" s="25"/>
      <c r="F23" s="27"/>
      <c r="G23" s="27"/>
      <c r="H23" s="26"/>
      <c r="I23" s="28" t="n">
        <f aca="false">D23-C23-F23+E23-H23+G23+N23+O23</f>
        <v>0.15625</v>
      </c>
      <c r="J23" s="29" t="n">
        <f aca="false">R23</f>
        <v>0.166666666666667</v>
      </c>
      <c r="K23" s="27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20</v>
      </c>
      <c r="B24" s="81" t="s">
        <v>43</v>
      </c>
      <c r="C24" s="25" t="n">
        <v>0.385416666666667</v>
      </c>
      <c r="D24" s="26" t="n">
        <v>0.666666666666667</v>
      </c>
      <c r="E24" s="25" t="n">
        <v>0.510416666666667</v>
      </c>
      <c r="F24" s="27" t="n">
        <v>0.53125</v>
      </c>
      <c r="G24" s="27"/>
      <c r="H24" s="26"/>
      <c r="I24" s="28" t="n">
        <f aca="false">D24-C24-F24+E24-H24+G24+N24+O24</f>
        <v>0.260416666666667</v>
      </c>
      <c r="J24" s="29" t="n">
        <f aca="false">R24</f>
        <v>0.166666666666667</v>
      </c>
      <c r="K24" s="27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80" t="s">
        <v>23</v>
      </c>
      <c r="B25" s="81" t="s">
        <v>44</v>
      </c>
      <c r="C25" s="25" t="n">
        <v>0.385416666666667</v>
      </c>
      <c r="D25" s="26" t="n">
        <v>0.510416666666667</v>
      </c>
      <c r="E25" s="25"/>
      <c r="F25" s="27"/>
      <c r="G25" s="27"/>
      <c r="H25" s="26"/>
      <c r="I25" s="28" t="n">
        <f aca="false">D25-C25-F25+E25-H25+G25+N25+O25</f>
        <v>0.125</v>
      </c>
      <c r="J25" s="29" t="n">
        <f aca="false">R25</f>
        <v>0.166666666666667</v>
      </c>
      <c r="K25" s="27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0.166666666666667</v>
      </c>
    </row>
    <row r="26" customFormat="false" ht="12.75" hidden="false" customHeight="false" outlineLevel="0" collapsed="false">
      <c r="A26" s="80" t="s">
        <v>15</v>
      </c>
      <c r="B26" s="81" t="s">
        <v>45</v>
      </c>
      <c r="C26" s="25" t="n">
        <v>0.375</v>
      </c>
      <c r="D26" s="26" t="n">
        <v>0.5</v>
      </c>
      <c r="E26" s="25"/>
      <c r="F26" s="27"/>
      <c r="G26" s="27"/>
      <c r="H26" s="26"/>
      <c r="I26" s="28" t="n">
        <f aca="false">D26-C26-F26+E26-H26+G26+N26+O26</f>
        <v>0.125</v>
      </c>
      <c r="J26" s="29" t="n">
        <f aca="false">R26</f>
        <v>0.166666666666667</v>
      </c>
      <c r="K26" s="27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0.166666666666667</v>
      </c>
    </row>
    <row r="27" customFormat="false" ht="12.75" hidden="false" customHeight="false" outlineLevel="0" collapsed="false">
      <c r="A27" s="80" t="s">
        <v>18</v>
      </c>
      <c r="B27" s="81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</v>
      </c>
      <c r="K27" s="27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</v>
      </c>
    </row>
    <row r="28" customFormat="false" ht="12.75" hidden="false" customHeight="false" outlineLevel="0" collapsed="false">
      <c r="A28" s="80" t="s">
        <v>33</v>
      </c>
      <c r="B28" s="81" t="s">
        <v>48</v>
      </c>
      <c r="C28" s="25"/>
      <c r="D28" s="26"/>
      <c r="E28" s="25"/>
      <c r="F28" s="27"/>
      <c r="G28" s="27"/>
      <c r="H28" s="26"/>
      <c r="I28" s="28" t="n">
        <f aca="false">D28-C28-F28+E28-H28+G28+N28+O28</f>
        <v>0</v>
      </c>
      <c r="J28" s="29" t="n">
        <f aca="false">R28</f>
        <v>0</v>
      </c>
      <c r="K28" s="27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</v>
      </c>
    </row>
    <row r="29" customFormat="false" ht="12.75" hidden="false" customHeight="false" outlineLevel="0" collapsed="false">
      <c r="A29" s="80" t="s">
        <v>24</v>
      </c>
      <c r="B29" s="81" t="s">
        <v>49</v>
      </c>
      <c r="C29" s="25"/>
      <c r="D29" s="26"/>
      <c r="E29" s="25"/>
      <c r="F29" s="27"/>
      <c r="G29" s="27"/>
      <c r="H29" s="26"/>
      <c r="I29" s="28" t="n">
        <f aca="false">D29-C29-F29+E29-H29+G29+N29+O29</f>
        <v>0</v>
      </c>
      <c r="J29" s="29" t="n">
        <f aca="false">R29</f>
        <v>0</v>
      </c>
      <c r="K29" s="27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</v>
      </c>
    </row>
    <row r="30" customFormat="false" ht="12.75" hidden="false" customHeight="false" outlineLevel="0" collapsed="false">
      <c r="A30" s="80" t="s">
        <v>17</v>
      </c>
      <c r="B30" s="81" t="s">
        <v>50</v>
      </c>
      <c r="C30" s="25" t="n">
        <v>0.354166666666667</v>
      </c>
      <c r="D30" s="26" t="n">
        <v>0.510416666666667</v>
      </c>
      <c r="E30" s="25"/>
      <c r="F30" s="27"/>
      <c r="G30" s="27"/>
      <c r="H30" s="26"/>
      <c r="I30" s="28" t="n">
        <f aca="false">D30-C30-F30+E30-H30+G30+N30+O30</f>
        <v>0.15625</v>
      </c>
      <c r="J30" s="29" t="n">
        <f aca="false">R30</f>
        <v>0.166666666666667</v>
      </c>
      <c r="K30" s="27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20</v>
      </c>
      <c r="B31" s="81" t="s">
        <v>51</v>
      </c>
      <c r="C31" s="25" t="n">
        <v>0.385416666666667</v>
      </c>
      <c r="D31" s="26" t="n">
        <v>0.666666666666667</v>
      </c>
      <c r="E31" s="25" t="n">
        <v>0.510416666666667</v>
      </c>
      <c r="F31" s="27" t="n">
        <v>0.53125</v>
      </c>
      <c r="G31" s="27"/>
      <c r="H31" s="26"/>
      <c r="I31" s="28" t="n">
        <f aca="false">D31-C31-F31+E31-H31+G31+N31+O31</f>
        <v>0.260416666666667</v>
      </c>
      <c r="J31" s="29" t="n">
        <f aca="false">R31</f>
        <v>0.166666666666667</v>
      </c>
      <c r="K31" s="27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80" t="s">
        <v>23</v>
      </c>
      <c r="B32" s="81" t="s">
        <v>52</v>
      </c>
      <c r="C32" s="25" t="n">
        <v>0.385416666666667</v>
      </c>
      <c r="D32" s="26" t="n">
        <v>0.510416666666667</v>
      </c>
      <c r="E32" s="25"/>
      <c r="F32" s="27"/>
      <c r="G32" s="27"/>
      <c r="H32" s="26"/>
      <c r="I32" s="28" t="n">
        <f aca="false">D32-C32-F32+E32-H32+G32+N32+O32</f>
        <v>0.125</v>
      </c>
      <c r="J32" s="29" t="n">
        <f aca="false">R32</f>
        <v>0.166666666666667</v>
      </c>
      <c r="K32" s="27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0.166666666666667</v>
      </c>
    </row>
    <row r="33" customFormat="false" ht="12.75" hidden="false" customHeight="false" outlineLevel="0" collapsed="false">
      <c r="A33" s="80" t="s">
        <v>15</v>
      </c>
      <c r="B33" s="81" t="s">
        <v>53</v>
      </c>
      <c r="C33" s="25" t="n">
        <v>0.375</v>
      </c>
      <c r="D33" s="26" t="n">
        <v>0.5</v>
      </c>
      <c r="E33" s="25"/>
      <c r="F33" s="27"/>
      <c r="G33" s="27"/>
      <c r="H33" s="26"/>
      <c r="I33" s="28" t="n">
        <f aca="false">D33-C33-F33+E33-H33+G33+N33+O33</f>
        <v>0.125</v>
      </c>
      <c r="J33" s="29" t="n">
        <f aca="false">R33</f>
        <v>0.166666666666667</v>
      </c>
      <c r="K33" s="27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0.166666666666667</v>
      </c>
    </row>
    <row r="34" customFormat="false" ht="12.75" hidden="false" customHeight="false" outlineLevel="0" collapsed="false">
      <c r="A34" s="80" t="s">
        <v>18</v>
      </c>
      <c r="B34" s="81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</v>
      </c>
      <c r="J34" s="29" t="n">
        <f aca="false">R34</f>
        <v>0</v>
      </c>
      <c r="K34" s="27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</v>
      </c>
    </row>
    <row r="35" customFormat="false" ht="12.75" hidden="false" customHeight="false" outlineLevel="0" collapsed="false">
      <c r="A35" s="80" t="s">
        <v>33</v>
      </c>
      <c r="B35" s="81" t="s">
        <v>55</v>
      </c>
      <c r="C35" s="25"/>
      <c r="D35" s="26"/>
      <c r="E35" s="25"/>
      <c r="F35" s="27"/>
      <c r="G35" s="27"/>
      <c r="H35" s="26"/>
      <c r="I35" s="28" t="n">
        <f aca="false">D35-C35-F35+E35-H35+G35+N35+O35</f>
        <v>0</v>
      </c>
      <c r="J35" s="29" t="n">
        <f aca="false">R35</f>
        <v>0</v>
      </c>
      <c r="K35" s="27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</v>
      </c>
    </row>
    <row r="36" customFormat="false" ht="12.75" hidden="false" customHeight="false" outlineLevel="0" collapsed="false">
      <c r="A36" s="80" t="s">
        <v>24</v>
      </c>
      <c r="B36" s="33" t="s">
        <v>56</v>
      </c>
      <c r="C36" s="25"/>
      <c r="D36" s="26"/>
      <c r="E36" s="25"/>
      <c r="F36" s="27"/>
      <c r="G36" s="27"/>
      <c r="H36" s="26"/>
      <c r="I36" s="28" t="n">
        <f aca="false">D36-C36-F36+E36-H36+G36+N36+O36</f>
        <v>0</v>
      </c>
      <c r="J36" s="29" t="n">
        <f aca="false">R36</f>
        <v>0</v>
      </c>
      <c r="K36" s="27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</v>
      </c>
    </row>
    <row r="37" customFormat="false" ht="12.75" hidden="false" customHeight="false" outlineLevel="0" collapsed="false">
      <c r="A37" s="83" t="s">
        <v>17</v>
      </c>
      <c r="B37" s="84" t="s">
        <v>57</v>
      </c>
      <c r="C37" s="41" t="n">
        <v>0.354166666666667</v>
      </c>
      <c r="D37" s="42" t="n">
        <v>0.510416666666667</v>
      </c>
      <c r="E37" s="41"/>
      <c r="F37" s="43"/>
      <c r="G37" s="43"/>
      <c r="H37" s="42"/>
      <c r="I37" s="44" t="n">
        <f aca="false">D37-C37-F37+E37-H37+G37+N37+O37</f>
        <v>0.15625</v>
      </c>
      <c r="J37" s="45" t="n">
        <f aca="false">R37</f>
        <v>0.166666666666667</v>
      </c>
      <c r="K37" s="43"/>
      <c r="L37" s="46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</row>
    <row r="38" customFormat="false" ht="12.75" hidden="false" customHeight="false" outlineLevel="0" collapsed="false">
      <c r="E38" s="16"/>
      <c r="F38" s="16"/>
      <c r="G38" s="16"/>
      <c r="H38" s="16"/>
      <c r="I38" s="21" t="s">
        <v>12</v>
      </c>
      <c r="J38" s="15" t="s">
        <v>13</v>
      </c>
      <c r="K38" s="4"/>
      <c r="M38" s="1"/>
      <c r="N38" s="1"/>
      <c r="R38" s="4"/>
    </row>
    <row r="39" customFormat="false" ht="12.75" hidden="false" customHeight="false" outlineLevel="0" collapsed="false">
      <c r="E39" s="16" t="s">
        <v>59</v>
      </c>
      <c r="F39" s="16"/>
      <c r="G39" s="16"/>
      <c r="H39" s="16"/>
      <c r="I39" s="47" t="n">
        <f aca="false">SUM(I8:I37)</f>
        <v>2.82291666666667</v>
      </c>
      <c r="J39" s="47" t="n">
        <f aca="false">SUM(J8:J37)</f>
        <v>2.91666666666667</v>
      </c>
    </row>
    <row r="40" customFormat="false" ht="12.75" hidden="false" customHeight="false" outlineLevel="0" collapsed="false">
      <c r="E40" s="16"/>
      <c r="F40" s="16"/>
      <c r="G40" s="16"/>
      <c r="H40" s="16"/>
      <c r="I40" s="47"/>
      <c r="J40" s="47"/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I39</f>
        <v>2.82291666666667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str">
        <f aca="false">Oktober!G50</f>
        <v>00:00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n">
        <f aca="false">Oktober!G51</f>
        <v>1.99722222222223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J39</f>
        <v>2.91666666666667</v>
      </c>
      <c r="H48" s="54"/>
      <c r="J48" s="63" t="str">
        <f aca="false">Januar!J48</f>
        <v>genommener Urlaub</v>
      </c>
      <c r="L48" s="62" t="n">
        <f aca="false">M48+Oktober!L48+0.5*N48</f>
        <v>11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107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17</v>
      </c>
    </row>
    <row r="51" customFormat="false" ht="13.5" hidden="false" customHeight="false" outlineLevel="0" collapsed="false">
      <c r="B51" s="53"/>
      <c r="C51" s="0" t="s">
        <v>108</v>
      </c>
      <c r="F51" s="59" t="s">
        <v>66</v>
      </c>
      <c r="G51" s="69" t="n">
        <f aca="false">IF(G43+G45-G46-G48&lt;0,-1*(G43+G45-G46-G48),"00:00")</f>
        <v>2.09097222222223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48828125" defaultRowHeight="12.75" zeroHeight="false" outlineLevelRow="0" outlineLevelCol="0"/>
  <cols>
    <col collapsed="false" customWidth="true" hidden="false" outlineLevel="0" max="1" min="1" style="0" width="3.57"/>
    <col collapsed="false" customWidth="true" hidden="false" outlineLevel="0" max="8" min="2" style="0" width="7.67"/>
    <col collapsed="false" customWidth="true" hidden="false" outlineLevel="0" max="10" min="9" style="0" width="7"/>
    <col collapsed="false" customWidth="true" hidden="false" outlineLevel="0" max="11" min="11" style="0" width="10.65"/>
    <col collapsed="false" customWidth="true" hidden="false" outlineLevel="0" max="12" min="12" style="0" width="11.64"/>
    <col collapsed="false" customWidth="false" hidden="true" outlineLevel="0" max="18" min="13" style="0" width="11.45"/>
  </cols>
  <sheetData>
    <row r="1" customFormat="false" ht="19.5" hidden="false" customHeight="true" outlineLevel="0" collapsed="false">
      <c r="B1" s="2" t="str">
        <f aca="false">Januar!B1</f>
        <v>Arbeitszeiterfassung 2026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9.5" hidden="false" customHeight="true" outlineLevel="0" collapsed="false">
      <c r="B2" s="3"/>
      <c r="C2" s="3"/>
      <c r="D2" s="3"/>
      <c r="E2" s="3"/>
      <c r="F2" s="3"/>
      <c r="G2" s="3"/>
      <c r="H2" s="3"/>
      <c r="I2" s="3"/>
      <c r="J2" s="3"/>
    </row>
    <row r="4" s="5" customFormat="true" ht="15" hidden="false" customHeight="false" outlineLevel="0" collapsed="false">
      <c r="B4" s="5" t="s">
        <v>1</v>
      </c>
      <c r="C4" s="5" t="str">
        <f aca="false">Januar!C4</f>
        <v>Andrea Keller-Brockmann</v>
      </c>
      <c r="G4" s="7"/>
      <c r="H4" s="5" t="n">
        <f aca="false">Januar!H4</f>
        <v>0</v>
      </c>
      <c r="K4" s="7" t="s">
        <v>3</v>
      </c>
      <c r="L4" s="5" t="s">
        <v>109</v>
      </c>
    </row>
    <row r="5" s="5" customFormat="true" ht="15" hidden="false" customHeight="false" outlineLevel="0" collapsed="false">
      <c r="A5" s="85"/>
      <c r="K5" s="85"/>
      <c r="L5" s="85"/>
    </row>
    <row r="6" s="16" customFormat="true" ht="12.75" hidden="false" customHeight="false" outlineLevel="0" collapsed="false">
      <c r="A6" s="11"/>
      <c r="B6" s="13" t="s">
        <v>5</v>
      </c>
      <c r="C6" s="13" t="s">
        <v>6</v>
      </c>
      <c r="D6" s="13"/>
      <c r="E6" s="13" t="s">
        <v>7</v>
      </c>
      <c r="F6" s="13"/>
      <c r="G6" s="13"/>
      <c r="H6" s="13"/>
      <c r="I6" s="13" t="s">
        <v>8</v>
      </c>
      <c r="J6" s="13"/>
      <c r="K6" s="14" t="s">
        <v>9</v>
      </c>
      <c r="L6" s="14"/>
      <c r="M6" s="15"/>
      <c r="N6" s="15"/>
    </row>
    <row r="7" s="21" customFormat="true" ht="12.75" hidden="false" customHeight="false" outlineLevel="0" collapsed="false">
      <c r="A7" s="17"/>
      <c r="B7" s="23"/>
      <c r="C7" s="19" t="s">
        <v>10</v>
      </c>
      <c r="D7" s="20" t="s">
        <v>11</v>
      </c>
      <c r="E7" s="19" t="s">
        <v>10</v>
      </c>
      <c r="F7" s="21" t="s">
        <v>11</v>
      </c>
      <c r="G7" s="21" t="s">
        <v>10</v>
      </c>
      <c r="H7" s="20" t="s">
        <v>11</v>
      </c>
      <c r="I7" s="19" t="s">
        <v>12</v>
      </c>
      <c r="J7" s="21" t="s">
        <v>13</v>
      </c>
      <c r="K7" s="87" t="s">
        <v>14</v>
      </c>
      <c r="L7" s="14"/>
      <c r="M7" s="15"/>
      <c r="N7" s="15"/>
    </row>
    <row r="8" customFormat="false" ht="12.75" hidden="false" customHeight="false" outlineLevel="0" collapsed="false">
      <c r="A8" s="80" t="s">
        <v>20</v>
      </c>
      <c r="B8" s="74" t="s">
        <v>16</v>
      </c>
      <c r="C8" s="25" t="n">
        <v>0.385416666666667</v>
      </c>
      <c r="D8" s="26" t="n">
        <v>0.666666666666667</v>
      </c>
      <c r="E8" s="25" t="n">
        <v>0.510416666666667</v>
      </c>
      <c r="F8" s="27" t="n">
        <v>0.53125</v>
      </c>
      <c r="G8" s="27"/>
      <c r="H8" s="26"/>
      <c r="I8" s="28" t="n">
        <f aca="false">D8-C8-F8+E8-H8+G8+N8+O8</f>
        <v>0.260416666666667</v>
      </c>
      <c r="J8" s="29" t="n">
        <f aca="false">R8</f>
        <v>0.166666666666667</v>
      </c>
      <c r="K8" s="82" t="s">
        <v>46</v>
      </c>
      <c r="L8" s="31"/>
      <c r="M8" s="32" t="str">
        <f aca="false">IF(OR(K8="U",K8="K"),J8,"0:00")</f>
        <v>0:00</v>
      </c>
      <c r="N8" s="1" t="str">
        <f aca="false">IF(M8&lt;&gt;"0:00",J8,"0:00")</f>
        <v>0:00</v>
      </c>
      <c r="O8" s="0" t="str">
        <f aca="false">IF(K8="0,5 U","03:51","0:00")</f>
        <v>0:00</v>
      </c>
      <c r="R8" s="4" t="n">
        <f aca="false">IF(A8="Mo",Januar!$Q$8,IF(A8="Di",Januar!$Q$9,IF(A8="Mi",Januar!$Q$10,IF(A8="Do",Januar!$Q$11,IF(A8="Fr",Januar!$Q$12,Januar!$Q$13)))))</f>
        <v>0.166666666666667</v>
      </c>
    </row>
    <row r="9" customFormat="false" ht="12.75" hidden="false" customHeight="false" outlineLevel="0" collapsed="false">
      <c r="A9" s="80" t="s">
        <v>23</v>
      </c>
      <c r="B9" s="74" t="s">
        <v>19</v>
      </c>
      <c r="C9" s="25" t="n">
        <v>0.385416666666667</v>
      </c>
      <c r="D9" s="26" t="n">
        <v>0.510416666666667</v>
      </c>
      <c r="E9" s="25"/>
      <c r="F9" s="27"/>
      <c r="G9" s="27"/>
      <c r="H9" s="26"/>
      <c r="I9" s="28" t="n">
        <f aca="false">D9-C9-F9+E9-H9+G9+N9+O9</f>
        <v>0.125</v>
      </c>
      <c r="J9" s="29" t="n">
        <f aca="false">R9</f>
        <v>0.166666666666667</v>
      </c>
      <c r="K9" s="82"/>
      <c r="L9" s="31"/>
      <c r="M9" s="32" t="str">
        <f aca="false">IF(OR(K9="U",K9="K"),J9,"0:00")</f>
        <v>0:00</v>
      </c>
      <c r="N9" s="1" t="str">
        <f aca="false">IF(M9&lt;&gt;"0:00",J9,"0:00")</f>
        <v>0:00</v>
      </c>
      <c r="O9" s="0" t="str">
        <f aca="false">IF(K9="0,5 U","03:51","0:00")</f>
        <v>0:00</v>
      </c>
      <c r="R9" s="4" t="n">
        <f aca="false">IF(A9="Mo",Januar!$Q$8,IF(A9="Di",Januar!$Q$9,IF(A9="Mi",Januar!$Q$10,IF(A9="Do",Januar!$Q$11,IF(A9="Fr",Januar!$Q$12,Januar!$Q$13)))))</f>
        <v>0.166666666666667</v>
      </c>
    </row>
    <row r="10" customFormat="false" ht="12.75" hidden="false" customHeight="false" outlineLevel="0" collapsed="false">
      <c r="A10" s="80" t="s">
        <v>15</v>
      </c>
      <c r="B10" s="81" t="s">
        <v>22</v>
      </c>
      <c r="C10" s="25" t="n">
        <v>0.375</v>
      </c>
      <c r="D10" s="26" t="n">
        <v>0.5</v>
      </c>
      <c r="E10" s="25"/>
      <c r="F10" s="27"/>
      <c r="G10" s="27"/>
      <c r="H10" s="26"/>
      <c r="I10" s="28" t="n">
        <f aca="false">D10-C10-F10+E10-H10+G10+N10+O10</f>
        <v>0.125</v>
      </c>
      <c r="J10" s="29" t="n">
        <f aca="false">R10</f>
        <v>0.166666666666667</v>
      </c>
      <c r="K10" s="82"/>
      <c r="L10" s="31"/>
      <c r="M10" s="32" t="str">
        <f aca="false">IF(OR(K10="U",K10="K"),J10,"0:00")</f>
        <v>0:00</v>
      </c>
      <c r="N10" s="1" t="str">
        <f aca="false">IF(M10&lt;&gt;"0:00",J10,"0:00")</f>
        <v>0:00</v>
      </c>
      <c r="O10" s="0" t="str">
        <f aca="false">IF(K10="0,5 U","03:51","0:00")</f>
        <v>0:00</v>
      </c>
      <c r="R10" s="4" t="n">
        <f aca="false">IF(A10="Mo",Januar!$Q$8,IF(A10="Di",Januar!$Q$9,IF(A10="Mi",Januar!$Q$10,IF(A10="Do",Januar!$Q$11,IF(A10="Fr",Januar!$Q$12,Januar!$Q$13)))))</f>
        <v>0.166666666666667</v>
      </c>
    </row>
    <row r="11" customFormat="false" ht="12.75" hidden="false" customHeight="false" outlineLevel="0" collapsed="false">
      <c r="A11" s="80" t="s">
        <v>18</v>
      </c>
      <c r="B11" s="81" t="s">
        <v>25</v>
      </c>
      <c r="C11" s="25"/>
      <c r="D11" s="26"/>
      <c r="E11" s="25"/>
      <c r="F11" s="27"/>
      <c r="G11" s="27"/>
      <c r="H11" s="26"/>
      <c r="I11" s="28" t="n">
        <f aca="false">D11-C11-F11+E11-H11+G11+N11+O11</f>
        <v>0</v>
      </c>
      <c r="J11" s="29" t="n">
        <f aca="false">R11</f>
        <v>0</v>
      </c>
      <c r="K11" s="82"/>
      <c r="L11" s="31"/>
      <c r="M11" s="32" t="str">
        <f aca="false">IF(OR(K11="U",K11="K"),J11,"0:00")</f>
        <v>0:00</v>
      </c>
      <c r="N11" s="1" t="str">
        <f aca="false">IF(M11&lt;&gt;"0:00",J11,"0:00")</f>
        <v>0:00</v>
      </c>
      <c r="O11" s="0" t="str">
        <f aca="false">IF(K11="0,5 U","03:51","0:00")</f>
        <v>0:00</v>
      </c>
      <c r="R11" s="4" t="n">
        <f aca="false">IF(A11="Mo",Januar!$Q$8,IF(A11="Di",Januar!$Q$9,IF(A11="Mi",Januar!$Q$10,IF(A11="Do",Januar!$Q$11,IF(A11="Fr",Januar!$Q$12,Januar!$Q$13)))))</f>
        <v>0</v>
      </c>
    </row>
    <row r="12" customFormat="false" ht="12.75" hidden="false" customHeight="false" outlineLevel="0" collapsed="false">
      <c r="A12" s="80" t="s">
        <v>33</v>
      </c>
      <c r="B12" s="81" t="s">
        <v>26</v>
      </c>
      <c r="C12" s="25"/>
      <c r="D12" s="26"/>
      <c r="E12" s="25"/>
      <c r="F12" s="27"/>
      <c r="G12" s="27"/>
      <c r="H12" s="26"/>
      <c r="I12" s="28" t="n">
        <f aca="false">D12-C12-F12+E12-H12+G12+N12+O12</f>
        <v>0</v>
      </c>
      <c r="J12" s="29" t="n">
        <f aca="false">R12</f>
        <v>0</v>
      </c>
      <c r="K12" s="28"/>
      <c r="L12" s="31"/>
      <c r="M12" s="32" t="str">
        <f aca="false">IF(OR(K12="U",K12="K"),J12,"0:00")</f>
        <v>0:00</v>
      </c>
      <c r="N12" s="1" t="str">
        <f aca="false">IF(M12&lt;&gt;"0:00",J12,"0:00")</f>
        <v>0:00</v>
      </c>
      <c r="O12" s="0" t="str">
        <f aca="false">IF(K12="0,5 U","03:51","0:00")</f>
        <v>0:00</v>
      </c>
      <c r="R12" s="4" t="n">
        <f aca="false">IF(A12="Mo",Januar!$Q$8,IF(A12="Di",Januar!$Q$9,IF(A12="Mi",Januar!$Q$10,IF(A12="Do",Januar!$Q$11,IF(A12="Fr",Januar!$Q$12,Januar!$Q$13)))))</f>
        <v>0</v>
      </c>
    </row>
    <row r="13" customFormat="false" ht="12.75" hidden="false" customHeight="false" outlineLevel="0" collapsed="false">
      <c r="A13" s="80" t="s">
        <v>24</v>
      </c>
      <c r="B13" s="81" t="s">
        <v>28</v>
      </c>
      <c r="C13" s="25"/>
      <c r="D13" s="26"/>
      <c r="E13" s="25"/>
      <c r="F13" s="27"/>
      <c r="G13" s="27"/>
      <c r="H13" s="26"/>
      <c r="I13" s="28" t="n">
        <f aca="false">D13-C13-F13+E13-H13+G13+N13+O13</f>
        <v>0</v>
      </c>
      <c r="J13" s="29" t="n">
        <f aca="false">R13</f>
        <v>0</v>
      </c>
      <c r="K13" s="82"/>
      <c r="L13" s="31"/>
      <c r="M13" s="32" t="str">
        <f aca="false">IF(OR(K13="U",K13="K"),J13,"0:00")</f>
        <v>0:00</v>
      </c>
      <c r="N13" s="1" t="str">
        <f aca="false">IF(M13&lt;&gt;"0:00",J13,"0:00")</f>
        <v>0:00</v>
      </c>
      <c r="O13" s="0" t="str">
        <f aca="false">IF(K13="0,5 U","03:51","0:00")</f>
        <v>0:00</v>
      </c>
      <c r="R13" s="4" t="n">
        <f aca="false">IF(A13="Mo",Januar!$Q$8,IF(A13="Di",Januar!$Q$9,IF(A13="Mi",Januar!$Q$10,IF(A13="Do",Januar!$Q$11,IF(A13="Fr",Januar!$Q$12,Januar!$Q$13)))))</f>
        <v>0</v>
      </c>
    </row>
    <row r="14" customFormat="false" ht="12.75" hidden="false" customHeight="false" outlineLevel="0" collapsed="false">
      <c r="A14" s="80" t="s">
        <v>17</v>
      </c>
      <c r="B14" s="81" t="s">
        <v>30</v>
      </c>
      <c r="C14" s="25" t="n">
        <v>0.354166666666667</v>
      </c>
      <c r="D14" s="26" t="n">
        <v>0.510416666666667</v>
      </c>
      <c r="E14" s="25"/>
      <c r="F14" s="27"/>
      <c r="G14" s="27"/>
      <c r="H14" s="26"/>
      <c r="I14" s="28" t="n">
        <f aca="false">D14-C14-F14+E14-H14+G14+N14+O14</f>
        <v>0.15625</v>
      </c>
      <c r="J14" s="29" t="n">
        <f aca="false">R14</f>
        <v>0.166666666666667</v>
      </c>
      <c r="K14" s="82"/>
      <c r="L14" s="31"/>
      <c r="M14" s="32" t="str">
        <f aca="false">IF(OR(K14="U",K14="K"),J14,"0:00")</f>
        <v>0:00</v>
      </c>
      <c r="N14" s="1" t="str">
        <f aca="false">IF(M14&lt;&gt;"0:00",J14,"0:00")</f>
        <v>0:00</v>
      </c>
      <c r="O14" s="0" t="str">
        <f aca="false">IF(K14="0,5 U","03:51","0:00")</f>
        <v>0:00</v>
      </c>
      <c r="R14" s="4" t="n">
        <f aca="false">IF(A14="Mo",Januar!$Q$8,IF(A14="Di",Januar!$Q$9,IF(A14="Mi",Januar!$Q$10,IF(A14="Do",Januar!$Q$11,IF(A14="Fr",Januar!$Q$12,Januar!$Q$13)))))</f>
        <v>0.166666666666667</v>
      </c>
    </row>
    <row r="15" customFormat="false" ht="12.75" hidden="false" customHeight="false" outlineLevel="0" collapsed="false">
      <c r="A15" s="80" t="s">
        <v>20</v>
      </c>
      <c r="B15" s="81" t="s">
        <v>31</v>
      </c>
      <c r="C15" s="25" t="n">
        <v>0.385416666666667</v>
      </c>
      <c r="D15" s="26" t="n">
        <v>0.666666666666667</v>
      </c>
      <c r="E15" s="25" t="n">
        <v>0.510416666666667</v>
      </c>
      <c r="F15" s="27" t="n">
        <v>0.53125</v>
      </c>
      <c r="G15" s="27"/>
      <c r="H15" s="26"/>
      <c r="I15" s="28" t="n">
        <f aca="false">D15-C15-F15+E15-H15+G15+N15+O15</f>
        <v>0.260416666666667</v>
      </c>
      <c r="J15" s="29" t="n">
        <f aca="false">R15</f>
        <v>0.166666666666667</v>
      </c>
      <c r="K15" s="82"/>
      <c r="L15" s="31"/>
      <c r="M15" s="32" t="str">
        <f aca="false">IF(OR(K15="U",K15="K"),J15,"0:00")</f>
        <v>0:00</v>
      </c>
      <c r="N15" s="1" t="str">
        <f aca="false">IF(M15&lt;&gt;"0:00",J15,"0:00")</f>
        <v>0:00</v>
      </c>
      <c r="O15" s="0" t="str">
        <f aca="false">IF(K15="0,5 U","03:51","0:00")</f>
        <v>0:00</v>
      </c>
      <c r="R15" s="4" t="n">
        <f aca="false">IF(A15="Mo",Januar!$Q$8,IF(A15="Di",Januar!$Q$9,IF(A15="Mi",Januar!$Q$10,IF(A15="Do",Januar!$Q$11,IF(A15="Fr",Januar!$Q$12,Januar!$Q$13)))))</f>
        <v>0.166666666666667</v>
      </c>
    </row>
    <row r="16" customFormat="false" ht="12.75" hidden="false" customHeight="false" outlineLevel="0" collapsed="false">
      <c r="A16" s="80" t="s">
        <v>23</v>
      </c>
      <c r="B16" s="81" t="s">
        <v>32</v>
      </c>
      <c r="C16" s="25" t="n">
        <v>0.385416666666667</v>
      </c>
      <c r="D16" s="26" t="n">
        <v>0.510416666666667</v>
      </c>
      <c r="E16" s="25"/>
      <c r="F16" s="27"/>
      <c r="G16" s="27"/>
      <c r="H16" s="26"/>
      <c r="I16" s="28" t="n">
        <f aca="false">D16-C16-F16+E16-H16+G16+N16+O16</f>
        <v>0.125</v>
      </c>
      <c r="J16" s="29" t="n">
        <f aca="false">R16</f>
        <v>0.166666666666667</v>
      </c>
      <c r="K16" s="82"/>
      <c r="L16" s="31"/>
      <c r="M16" s="32" t="str">
        <f aca="false">IF(OR(K16="U",K16="K"),J16,"0:00")</f>
        <v>0:00</v>
      </c>
      <c r="N16" s="1" t="str">
        <f aca="false">IF(M16&lt;&gt;"0:00",J16,"0:00")</f>
        <v>0:00</v>
      </c>
      <c r="O16" s="0" t="str">
        <f aca="false">IF(K16="0,5 U","03:51","0:00")</f>
        <v>0:00</v>
      </c>
      <c r="R16" s="4" t="n">
        <f aca="false">IF(A16="Mo",Januar!$Q$8,IF(A16="Di",Januar!$Q$9,IF(A16="Mi",Januar!$Q$10,IF(A16="Do",Januar!$Q$11,IF(A16="Fr",Januar!$Q$12,Januar!$Q$13)))))</f>
        <v>0.166666666666667</v>
      </c>
    </row>
    <row r="17" customFormat="false" ht="12.75" hidden="false" customHeight="false" outlineLevel="0" collapsed="false">
      <c r="A17" s="80" t="s">
        <v>15</v>
      </c>
      <c r="B17" s="81" t="s">
        <v>34</v>
      </c>
      <c r="C17" s="25" t="n">
        <v>0.375</v>
      </c>
      <c r="D17" s="26" t="n">
        <v>0.5</v>
      </c>
      <c r="E17" s="25"/>
      <c r="F17" s="27"/>
      <c r="G17" s="27"/>
      <c r="H17" s="26"/>
      <c r="I17" s="28" t="n">
        <f aca="false">D17-C17-F17+E17-H17+G17+N17+O17</f>
        <v>0.125</v>
      </c>
      <c r="J17" s="29" t="n">
        <f aca="false">R17</f>
        <v>0.166666666666667</v>
      </c>
      <c r="K17" s="82"/>
      <c r="L17" s="31"/>
      <c r="M17" s="32" t="str">
        <f aca="false">IF(OR(K17="U",K17="K"),J17,"0:00")</f>
        <v>0:00</v>
      </c>
      <c r="N17" s="1" t="str">
        <f aca="false">IF(M17&lt;&gt;"0:00",J17,"0:00")</f>
        <v>0:00</v>
      </c>
      <c r="O17" s="0" t="str">
        <f aca="false">IF(K17="0,5 U","03:51","0:00")</f>
        <v>0:00</v>
      </c>
      <c r="R17" s="4" t="n">
        <f aca="false">IF(A17="Mo",Januar!$Q$8,IF(A17="Di",Januar!$Q$9,IF(A17="Mi",Januar!$Q$10,IF(A17="Do",Januar!$Q$11,IF(A17="Fr",Januar!$Q$12,Januar!$Q$13)))))</f>
        <v>0.166666666666667</v>
      </c>
    </row>
    <row r="18" customFormat="false" ht="12.75" hidden="false" customHeight="false" outlineLevel="0" collapsed="false">
      <c r="A18" s="80" t="s">
        <v>18</v>
      </c>
      <c r="B18" s="81" t="s">
        <v>35</v>
      </c>
      <c r="C18" s="25"/>
      <c r="D18" s="26"/>
      <c r="E18" s="25"/>
      <c r="F18" s="27"/>
      <c r="G18" s="27"/>
      <c r="H18" s="26"/>
      <c r="I18" s="28" t="n">
        <f aca="false">D18-C18-F18+E18-H18+G18+N18+O18</f>
        <v>0</v>
      </c>
      <c r="J18" s="29" t="n">
        <f aca="false">R18</f>
        <v>0</v>
      </c>
      <c r="K18" s="82"/>
      <c r="L18" s="31"/>
      <c r="M18" s="32" t="str">
        <f aca="false">IF(OR(K18="U",K18="K"),J18,"0:00")</f>
        <v>0:00</v>
      </c>
      <c r="N18" s="1" t="str">
        <f aca="false">IF(M18&lt;&gt;"0:00",J18,"0:00")</f>
        <v>0:00</v>
      </c>
      <c r="O18" s="0" t="str">
        <f aca="false">IF(K18="0,5 U","03:51","0:00")</f>
        <v>0:00</v>
      </c>
      <c r="R18" s="4" t="n">
        <f aca="false">IF(A18="Mo",Januar!$Q$8,IF(A18="Di",Januar!$Q$9,IF(A18="Mi",Januar!$Q$10,IF(A18="Do",Januar!$Q$11,IF(A18="Fr",Januar!$Q$12,Januar!$Q$13)))))</f>
        <v>0</v>
      </c>
    </row>
    <row r="19" customFormat="false" ht="12.75" hidden="false" customHeight="false" outlineLevel="0" collapsed="false">
      <c r="A19" s="80" t="s">
        <v>33</v>
      </c>
      <c r="B19" s="81" t="s">
        <v>36</v>
      </c>
      <c r="C19" s="25"/>
      <c r="D19" s="26"/>
      <c r="E19" s="25"/>
      <c r="F19" s="27"/>
      <c r="G19" s="27"/>
      <c r="H19" s="26"/>
      <c r="I19" s="28" t="n">
        <f aca="false">D19-C19-F19+E19-H19+G19+N19+O19</f>
        <v>0</v>
      </c>
      <c r="J19" s="29" t="n">
        <f aca="false">R19</f>
        <v>0</v>
      </c>
      <c r="K19" s="82"/>
      <c r="L19" s="31"/>
      <c r="M19" s="32" t="str">
        <f aca="false">IF(OR(K19="U",K19="K"),J19,"0:00")</f>
        <v>0:00</v>
      </c>
      <c r="N19" s="1" t="str">
        <f aca="false">IF(M19&lt;&gt;"0:00",J19,"0:00")</f>
        <v>0:00</v>
      </c>
      <c r="O19" s="0" t="str">
        <f aca="false">IF(K19="0,5 U","03:51","0:00")</f>
        <v>0:00</v>
      </c>
      <c r="R19" s="4" t="n">
        <f aca="false">IF(A19="Mo",Januar!$Q$8,IF(A19="Di",Januar!$Q$9,IF(A19="Mi",Januar!$Q$10,IF(A19="Do",Januar!$Q$11,IF(A19="Fr",Januar!$Q$12,Januar!$Q$13)))))</f>
        <v>0</v>
      </c>
    </row>
    <row r="20" customFormat="false" ht="12.75" hidden="false" customHeight="false" outlineLevel="0" collapsed="false">
      <c r="A20" s="80" t="s">
        <v>24</v>
      </c>
      <c r="B20" s="81" t="s">
        <v>38</v>
      </c>
      <c r="C20" s="25"/>
      <c r="D20" s="26"/>
      <c r="E20" s="25"/>
      <c r="F20" s="27"/>
      <c r="G20" s="27"/>
      <c r="H20" s="26"/>
      <c r="I20" s="28" t="n">
        <f aca="false">D20-C20-F20+E20-H20+G20+N20+O20</f>
        <v>0</v>
      </c>
      <c r="J20" s="29" t="n">
        <f aca="false">R20</f>
        <v>0</v>
      </c>
      <c r="K20" s="82"/>
      <c r="L20" s="31"/>
      <c r="M20" s="32" t="str">
        <f aca="false">IF(OR(K20="U",K20="K"),J20,"0:00")</f>
        <v>0:00</v>
      </c>
      <c r="N20" s="1" t="str">
        <f aca="false">IF(M20&lt;&gt;"0:00",J20,"0:00")</f>
        <v>0:00</v>
      </c>
      <c r="O20" s="0" t="str">
        <f aca="false">IF(K20="0,5 U","03:51","0:00")</f>
        <v>0:00</v>
      </c>
      <c r="R20" s="4" t="n">
        <f aca="false">IF(A20="Mo",Januar!$Q$8,IF(A20="Di",Januar!$Q$9,IF(A20="Mi",Januar!$Q$10,IF(A20="Do",Januar!$Q$11,IF(A20="Fr",Januar!$Q$12,Januar!$Q$13)))))</f>
        <v>0</v>
      </c>
    </row>
    <row r="21" customFormat="false" ht="12.75" hidden="false" customHeight="false" outlineLevel="0" collapsed="false">
      <c r="A21" s="80" t="s">
        <v>17</v>
      </c>
      <c r="B21" s="81" t="s">
        <v>40</v>
      </c>
      <c r="C21" s="25" t="n">
        <v>0.354166666666667</v>
      </c>
      <c r="D21" s="26" t="n">
        <v>0.510416666666667</v>
      </c>
      <c r="E21" s="25"/>
      <c r="F21" s="27"/>
      <c r="G21" s="27"/>
      <c r="H21" s="26"/>
      <c r="I21" s="28" t="n">
        <f aca="false">D21-C21-F21+E21-H21+G21+N21+O21</f>
        <v>0.15625</v>
      </c>
      <c r="J21" s="29" t="n">
        <f aca="false">R21</f>
        <v>0.166666666666667</v>
      </c>
      <c r="K21" s="25"/>
      <c r="L21" s="31"/>
      <c r="M21" s="32" t="str">
        <f aca="false">IF(OR(K21="U",K21="K"),J21,"0:00")</f>
        <v>0:00</v>
      </c>
      <c r="N21" s="1" t="str">
        <f aca="false">IF(M21&lt;&gt;"0:00",J21,"0:00")</f>
        <v>0:00</v>
      </c>
      <c r="O21" s="0" t="str">
        <f aca="false">IF(K21="0,5 U","03:51","0:00")</f>
        <v>0:00</v>
      </c>
      <c r="R21" s="4" t="n">
        <f aca="false">IF(A21="Mo",Januar!$Q$8,IF(A21="Di",Januar!$Q$9,IF(A21="Mi",Januar!$Q$10,IF(A21="Do",Januar!$Q$11,IF(A21="Fr",Januar!$Q$12,Januar!$Q$13)))))</f>
        <v>0.166666666666667</v>
      </c>
    </row>
    <row r="22" customFormat="false" ht="12.75" hidden="false" customHeight="false" outlineLevel="0" collapsed="false">
      <c r="A22" s="80" t="s">
        <v>20</v>
      </c>
      <c r="B22" s="81" t="s">
        <v>41</v>
      </c>
      <c r="C22" s="25" t="n">
        <v>0.385416666666667</v>
      </c>
      <c r="D22" s="26" t="n">
        <v>0.666666666666667</v>
      </c>
      <c r="E22" s="25" t="n">
        <v>0.510416666666667</v>
      </c>
      <c r="F22" s="27" t="n">
        <v>0.53125</v>
      </c>
      <c r="G22" s="27"/>
      <c r="H22" s="26"/>
      <c r="I22" s="28" t="n">
        <f aca="false">D22-C22-F22+E22-H22+G22+N22+O22</f>
        <v>0.260416666666667</v>
      </c>
      <c r="J22" s="29" t="n">
        <f aca="false">R22</f>
        <v>0.166666666666667</v>
      </c>
      <c r="K22" s="25"/>
      <c r="L22" s="31"/>
      <c r="M22" s="32" t="str">
        <f aca="false">IF(OR(K22="U",K22="K"),J22,"0:00")</f>
        <v>0:00</v>
      </c>
      <c r="N22" s="1" t="str">
        <f aca="false">IF(M22&lt;&gt;"0:00",J22,"0:00")</f>
        <v>0:00</v>
      </c>
      <c r="O22" s="0" t="str">
        <f aca="false">IF(K22="0,5 U","03:51","0:00")</f>
        <v>0:00</v>
      </c>
      <c r="R22" s="4" t="n">
        <f aca="false">IF(A22="Mo",Januar!$Q$8,IF(A22="Di",Januar!$Q$9,IF(A22="Mi",Januar!$Q$10,IF(A22="Do",Januar!$Q$11,IF(A22="Fr",Januar!$Q$12,Januar!$Q$13)))))</f>
        <v>0.166666666666667</v>
      </c>
    </row>
    <row r="23" customFormat="false" ht="12.75" hidden="false" customHeight="false" outlineLevel="0" collapsed="false">
      <c r="A23" s="80" t="s">
        <v>23</v>
      </c>
      <c r="B23" s="81" t="s">
        <v>42</v>
      </c>
      <c r="C23" s="25" t="n">
        <v>0.385416666666667</v>
      </c>
      <c r="D23" s="26" t="n">
        <v>0.510416666666667</v>
      </c>
      <c r="E23" s="25"/>
      <c r="F23" s="27"/>
      <c r="G23" s="27"/>
      <c r="H23" s="26"/>
      <c r="I23" s="28" t="n">
        <f aca="false">D23-C23-F23+E23-H23+G23+N23+O23</f>
        <v>0.125</v>
      </c>
      <c r="J23" s="29" t="n">
        <f aca="false">R23</f>
        <v>0.166666666666667</v>
      </c>
      <c r="K23" s="25"/>
      <c r="L23" s="31"/>
      <c r="M23" s="32" t="str">
        <f aca="false">IF(OR(K23="U",K23="K"),J23,"0:00")</f>
        <v>0:00</v>
      </c>
      <c r="N23" s="1" t="str">
        <f aca="false">IF(M23&lt;&gt;"0:00",J23,"0:00")</f>
        <v>0:00</v>
      </c>
      <c r="O23" s="0" t="str">
        <f aca="false">IF(K23="0,5 U","03:51","0:00")</f>
        <v>0:00</v>
      </c>
      <c r="R23" s="4" t="n">
        <f aca="false">IF(A23="Mo",Januar!$Q$8,IF(A23="Di",Januar!$Q$9,IF(A23="Mi",Januar!$Q$10,IF(A23="Do",Januar!$Q$11,IF(A23="Fr",Januar!$Q$12,Januar!$Q$13)))))</f>
        <v>0.166666666666667</v>
      </c>
    </row>
    <row r="24" customFormat="false" ht="12.75" hidden="false" customHeight="false" outlineLevel="0" collapsed="false">
      <c r="A24" s="80" t="s">
        <v>15</v>
      </c>
      <c r="B24" s="81" t="s">
        <v>43</v>
      </c>
      <c r="C24" s="25" t="n">
        <v>0.375</v>
      </c>
      <c r="D24" s="26" t="n">
        <v>0.5</v>
      </c>
      <c r="E24" s="25"/>
      <c r="F24" s="27"/>
      <c r="G24" s="27"/>
      <c r="H24" s="26"/>
      <c r="I24" s="28" t="n">
        <f aca="false">D24-C24-F24+E24-H24+G24+N24+O24</f>
        <v>0.125</v>
      </c>
      <c r="J24" s="29" t="n">
        <f aca="false">R24</f>
        <v>0.166666666666667</v>
      </c>
      <c r="K24" s="25"/>
      <c r="L24" s="31"/>
      <c r="M24" s="32" t="str">
        <f aca="false">IF(OR(K24="U",K24="K"),J24,"0:00")</f>
        <v>0:00</v>
      </c>
      <c r="N24" s="1" t="str">
        <f aca="false">IF(M24&lt;&gt;"0:00",J24,"0:00")</f>
        <v>0:00</v>
      </c>
      <c r="O24" s="0" t="str">
        <f aca="false">IF(K24="0,5 U","03:51","0:00")</f>
        <v>0:00</v>
      </c>
      <c r="R24" s="4" t="n">
        <f aca="false">IF(A24="Mo",Januar!$Q$8,IF(A24="Di",Januar!$Q$9,IF(A24="Mi",Januar!$Q$10,IF(A24="Do",Januar!$Q$11,IF(A24="Fr",Januar!$Q$12,Januar!$Q$13)))))</f>
        <v>0.166666666666667</v>
      </c>
    </row>
    <row r="25" customFormat="false" ht="12.75" hidden="false" customHeight="false" outlineLevel="0" collapsed="false">
      <c r="A25" s="80" t="s">
        <v>18</v>
      </c>
      <c r="B25" s="81" t="s">
        <v>44</v>
      </c>
      <c r="C25" s="25"/>
      <c r="D25" s="26"/>
      <c r="E25" s="25"/>
      <c r="F25" s="27"/>
      <c r="G25" s="27"/>
      <c r="H25" s="26"/>
      <c r="I25" s="28" t="n">
        <f aca="false">D25-C25-F25+E25-H25+G25+N25+O25</f>
        <v>0</v>
      </c>
      <c r="J25" s="29" t="n">
        <f aca="false">R25</f>
        <v>0</v>
      </c>
      <c r="K25" s="25"/>
      <c r="L25" s="31"/>
      <c r="M25" s="32" t="str">
        <f aca="false">IF(OR(K25="U",K25="K"),J25,"0:00")</f>
        <v>0:00</v>
      </c>
      <c r="N25" s="1" t="str">
        <f aca="false">IF(M25&lt;&gt;"0:00",J25,"0:00")</f>
        <v>0:00</v>
      </c>
      <c r="O25" s="0" t="str">
        <f aca="false">IF(K25="0,5 U","03:51","0:00")</f>
        <v>0:00</v>
      </c>
      <c r="R25" s="4" t="n">
        <f aca="false">IF(A25="Mo",Januar!$Q$8,IF(A25="Di",Januar!$Q$9,IF(A25="Mi",Januar!$Q$10,IF(A25="Do",Januar!$Q$11,IF(A25="Fr",Januar!$Q$12,Januar!$Q$13)))))</f>
        <v>0</v>
      </c>
    </row>
    <row r="26" customFormat="false" ht="12.75" hidden="false" customHeight="false" outlineLevel="0" collapsed="false">
      <c r="A26" s="80" t="s">
        <v>33</v>
      </c>
      <c r="B26" s="81" t="s">
        <v>45</v>
      </c>
      <c r="C26" s="25"/>
      <c r="D26" s="26"/>
      <c r="E26" s="25"/>
      <c r="F26" s="27"/>
      <c r="G26" s="27"/>
      <c r="H26" s="26"/>
      <c r="I26" s="28" t="n">
        <f aca="false">D26-C26-F26+E26-H26+G26+N26+O26</f>
        <v>0</v>
      </c>
      <c r="J26" s="29" t="n">
        <f aca="false">R26</f>
        <v>0</v>
      </c>
      <c r="K26" s="25"/>
      <c r="L26" s="31"/>
      <c r="M26" s="32" t="str">
        <f aca="false">IF(OR(K26="U",K26="K"),J26,"0:00")</f>
        <v>0:00</v>
      </c>
      <c r="N26" s="1" t="str">
        <f aca="false">IF(M26&lt;&gt;"0:00",J26,"0:00")</f>
        <v>0:00</v>
      </c>
      <c r="O26" s="0" t="str">
        <f aca="false">IF(K26="0,5 U","03:51","0:00")</f>
        <v>0:00</v>
      </c>
      <c r="R26" s="4" t="n">
        <f aca="false">IF(A26="Mo",Januar!$Q$8,IF(A26="Di",Januar!$Q$9,IF(A26="Mi",Januar!$Q$10,IF(A26="Do",Januar!$Q$11,IF(A26="Fr",Januar!$Q$12,Januar!$Q$13)))))</f>
        <v>0</v>
      </c>
    </row>
    <row r="27" customFormat="false" ht="12.75" hidden="false" customHeight="false" outlineLevel="0" collapsed="false">
      <c r="A27" s="80" t="s">
        <v>24</v>
      </c>
      <c r="B27" s="81" t="s">
        <v>47</v>
      </c>
      <c r="C27" s="25"/>
      <c r="D27" s="26"/>
      <c r="E27" s="25"/>
      <c r="F27" s="27"/>
      <c r="G27" s="27"/>
      <c r="H27" s="26"/>
      <c r="I27" s="28" t="n">
        <f aca="false">D27-C27-F27+E27-H27+G27+N27+O27</f>
        <v>0</v>
      </c>
      <c r="J27" s="29" t="n">
        <f aca="false">R27</f>
        <v>0</v>
      </c>
      <c r="K27" s="25"/>
      <c r="L27" s="31"/>
      <c r="M27" s="32" t="str">
        <f aca="false">IF(OR(K27="U",K27="K"),J27,"0:00")</f>
        <v>0:00</v>
      </c>
      <c r="N27" s="1" t="str">
        <f aca="false">IF(M27&lt;&gt;"0:00",J27,"0:00")</f>
        <v>0:00</v>
      </c>
      <c r="O27" s="0" t="str">
        <f aca="false">IF(K27="0,5 U","03:51","0:00")</f>
        <v>0:00</v>
      </c>
      <c r="R27" s="4" t="n">
        <f aca="false">IF(A27="Mo",Januar!$Q$8,IF(A27="Di",Januar!$Q$9,IF(A27="Mi",Januar!$Q$10,IF(A27="Do",Januar!$Q$11,IF(A27="Fr",Januar!$Q$12,Januar!$Q$13)))))</f>
        <v>0</v>
      </c>
    </row>
    <row r="28" customFormat="false" ht="12.75" hidden="false" customHeight="false" outlineLevel="0" collapsed="false">
      <c r="A28" s="80" t="s">
        <v>17</v>
      </c>
      <c r="B28" s="81" t="s">
        <v>48</v>
      </c>
      <c r="C28" s="25"/>
      <c r="D28" s="26"/>
      <c r="E28" s="25"/>
      <c r="F28" s="27"/>
      <c r="G28" s="27"/>
      <c r="H28" s="26"/>
      <c r="I28" s="28" t="n">
        <f aca="false">D28-C28-F28+E28-H28+G28+N28+O28</f>
        <v>0</v>
      </c>
      <c r="J28" s="29" t="n">
        <f aca="false">R28</f>
        <v>0.166666666666667</v>
      </c>
      <c r="K28" s="25"/>
      <c r="L28" s="31"/>
      <c r="M28" s="32" t="str">
        <f aca="false">IF(OR(K28="U",K28="K"),J28,"0:00")</f>
        <v>0:00</v>
      </c>
      <c r="N28" s="1" t="str">
        <f aca="false">IF(M28&lt;&gt;"0:00",J28,"0:00")</f>
        <v>0:00</v>
      </c>
      <c r="O28" s="0" t="str">
        <f aca="false">IF(K28="0,5 U","03:51","0:00")</f>
        <v>0:00</v>
      </c>
      <c r="R28" s="4" t="n">
        <f aca="false">IF(A28="Mo",Januar!$Q$8,IF(A28="Di",Januar!$Q$9,IF(A28="Mi",Januar!$Q$10,IF(A28="Do",Januar!$Q$11,IF(A28="Fr",Januar!$Q$12,Januar!$Q$13)))))</f>
        <v>0.166666666666667</v>
      </c>
    </row>
    <row r="29" customFormat="false" ht="12.75" hidden="false" customHeight="false" outlineLevel="0" collapsed="false">
      <c r="A29" s="80" t="s">
        <v>20</v>
      </c>
      <c r="B29" s="81" t="s">
        <v>49</v>
      </c>
      <c r="C29" s="25"/>
      <c r="D29" s="26"/>
      <c r="E29" s="25"/>
      <c r="F29" s="27"/>
      <c r="G29" s="27"/>
      <c r="H29" s="26"/>
      <c r="I29" s="28" t="n">
        <f aca="false">D29-C29-F29+E29-H29+G29+N29+O29</f>
        <v>0</v>
      </c>
      <c r="J29" s="29" t="n">
        <f aca="false">R29</f>
        <v>0.166666666666667</v>
      </c>
      <c r="K29" s="25"/>
      <c r="L29" s="31"/>
      <c r="M29" s="32" t="str">
        <f aca="false">IF(OR(K29="U",K29="K"),J29,"0:00")</f>
        <v>0:00</v>
      </c>
      <c r="N29" s="1" t="str">
        <f aca="false">IF(M29&lt;&gt;"0:00",J29,"0:00")</f>
        <v>0:00</v>
      </c>
      <c r="O29" s="0" t="str">
        <f aca="false">IF(K29="0,5 U","03:51","0:00")</f>
        <v>0:00</v>
      </c>
      <c r="R29" s="4" t="n">
        <f aca="false">IF(A29="Mo",Januar!$Q$8,IF(A29="Di",Januar!$Q$9,IF(A29="Mi",Januar!$Q$10,IF(A29="Do",Januar!$Q$11,IF(A29="Fr",Januar!$Q$12,Januar!$Q$13)))))</f>
        <v>0.166666666666667</v>
      </c>
    </row>
    <row r="30" customFormat="false" ht="12.75" hidden="false" customHeight="false" outlineLevel="0" collapsed="false">
      <c r="A30" s="80" t="s">
        <v>23</v>
      </c>
      <c r="B30" s="81" t="s">
        <v>50</v>
      </c>
      <c r="C30" s="25"/>
      <c r="D30" s="26"/>
      <c r="E30" s="25"/>
      <c r="F30" s="27"/>
      <c r="G30" s="27"/>
      <c r="H30" s="26"/>
      <c r="I30" s="28" t="n">
        <f aca="false">D30-C30-F30+E30-H30+G30+N30+O30</f>
        <v>0</v>
      </c>
      <c r="J30" s="29" t="n">
        <f aca="false">R30</f>
        <v>0.166666666666667</v>
      </c>
      <c r="K30" s="82"/>
      <c r="L30" s="31"/>
      <c r="M30" s="32" t="str">
        <f aca="false">IF(OR(K30="U",K30="K"),J30,"0:00")</f>
        <v>0:00</v>
      </c>
      <c r="N30" s="1" t="str">
        <f aca="false">IF(M30&lt;&gt;"0:00",J30,"0:00")</f>
        <v>0:00</v>
      </c>
      <c r="O30" s="0" t="str">
        <f aca="false">IF(K30="0,5 U","03:51","0:00")</f>
        <v>0:00</v>
      </c>
      <c r="R30" s="4" t="n">
        <f aca="false">IF(A30="Mo",Januar!$Q$8,IF(A30="Di",Januar!$Q$9,IF(A30="Mi",Januar!$Q$10,IF(A30="Do",Januar!$Q$11,IF(A30="Fr",Januar!$Q$12,Januar!$Q$13)))))</f>
        <v>0.166666666666667</v>
      </c>
    </row>
    <row r="31" customFormat="false" ht="12.75" hidden="false" customHeight="false" outlineLevel="0" collapsed="false">
      <c r="A31" s="80" t="s">
        <v>15</v>
      </c>
      <c r="B31" s="81" t="s">
        <v>51</v>
      </c>
      <c r="C31" s="25"/>
      <c r="D31" s="26"/>
      <c r="E31" s="25"/>
      <c r="F31" s="27"/>
      <c r="G31" s="27"/>
      <c r="H31" s="26"/>
      <c r="I31" s="28" t="n">
        <f aca="false">D31-C31-F31+E31-H31+G31+N31+O31</f>
        <v>0</v>
      </c>
      <c r="J31" s="29" t="n">
        <v>0</v>
      </c>
      <c r="K31" s="82"/>
      <c r="L31" s="31"/>
      <c r="M31" s="32" t="str">
        <f aca="false">IF(OR(K31="U",K31="K"),J31,"0:00")</f>
        <v>0:00</v>
      </c>
      <c r="N31" s="1" t="str">
        <f aca="false">IF(M31&lt;&gt;"0:00",J31,"0:00")</f>
        <v>0:00</v>
      </c>
      <c r="O31" s="0" t="str">
        <f aca="false">IF(K31="0,5 U","03:51","0:00")</f>
        <v>0:00</v>
      </c>
      <c r="R31" s="4" t="n">
        <f aca="false">IF(A31="Mo",Januar!$Q$8,IF(A31="Di",Januar!$Q$9,IF(A31="Mi",Januar!$Q$10,IF(A31="Do",Januar!$Q$11,IF(A31="Fr",Januar!$Q$12,Januar!$Q$13)))))</f>
        <v>0.166666666666667</v>
      </c>
    </row>
    <row r="32" customFormat="false" ht="12.75" hidden="false" customHeight="false" outlineLevel="0" collapsed="false">
      <c r="A32" s="80" t="s">
        <v>18</v>
      </c>
      <c r="B32" s="81" t="s">
        <v>52</v>
      </c>
      <c r="C32" s="25"/>
      <c r="D32" s="26"/>
      <c r="E32" s="25"/>
      <c r="F32" s="27"/>
      <c r="G32" s="27"/>
      <c r="H32" s="26"/>
      <c r="I32" s="28" t="n">
        <f aca="false">D32-C32-F32+E32-H32+G32+N32+O32</f>
        <v>0</v>
      </c>
      <c r="J32" s="29" t="n">
        <f aca="false">R32</f>
        <v>0</v>
      </c>
      <c r="K32" s="82"/>
      <c r="L32" s="31"/>
      <c r="M32" s="32" t="str">
        <f aca="false">IF(OR(K32="U",K32="K"),J32,"0:00")</f>
        <v>0:00</v>
      </c>
      <c r="N32" s="1" t="str">
        <f aca="false">IF(M32&lt;&gt;"0:00",J32,"0:00")</f>
        <v>0:00</v>
      </c>
      <c r="O32" s="0" t="str">
        <f aca="false">IF(K32="0,5 U","03:51","0:00")</f>
        <v>0:00</v>
      </c>
      <c r="R32" s="4" t="n">
        <f aca="false">IF(A32="Mo",Januar!$Q$8,IF(A32="Di",Januar!$Q$9,IF(A32="Mi",Januar!$Q$10,IF(A32="Do",Januar!$Q$11,IF(A32="Fr",Januar!$Q$12,Januar!$Q$13)))))</f>
        <v>0</v>
      </c>
    </row>
    <row r="33" customFormat="false" ht="12.75" hidden="false" customHeight="false" outlineLevel="0" collapsed="false">
      <c r="A33" s="80" t="s">
        <v>33</v>
      </c>
      <c r="B33" s="81" t="s">
        <v>53</v>
      </c>
      <c r="C33" s="25"/>
      <c r="D33" s="26"/>
      <c r="E33" s="25"/>
      <c r="F33" s="27"/>
      <c r="G33" s="27"/>
      <c r="H33" s="26"/>
      <c r="I33" s="28" t="n">
        <f aca="false">D33-C33-F33+E33-H33+G33+N33+O33</f>
        <v>0</v>
      </c>
      <c r="J33" s="29" t="n">
        <f aca="false">R33</f>
        <v>0</v>
      </c>
      <c r="K33" s="82"/>
      <c r="L33" s="31"/>
      <c r="M33" s="32" t="str">
        <f aca="false">IF(OR(K33="U",K33="K"),J33,"0:00")</f>
        <v>0:00</v>
      </c>
      <c r="N33" s="1" t="str">
        <f aca="false">IF(M33&lt;&gt;"0:00",J33,"0:00")</f>
        <v>0:00</v>
      </c>
      <c r="O33" s="0" t="str">
        <f aca="false">IF(K33="0,5 U","03:51","0:00")</f>
        <v>0:00</v>
      </c>
      <c r="R33" s="4" t="n">
        <f aca="false">IF(A33="Mo",Januar!$Q$8,IF(A33="Di",Januar!$Q$9,IF(A33="Mi",Januar!$Q$10,IF(A33="Do",Januar!$Q$11,IF(A33="Fr",Januar!$Q$12,Januar!$Q$13)))))</f>
        <v>0</v>
      </c>
    </row>
    <row r="34" customFormat="false" ht="12.75" hidden="false" customHeight="false" outlineLevel="0" collapsed="false">
      <c r="A34" s="80" t="s">
        <v>24</v>
      </c>
      <c r="B34" s="81" t="s">
        <v>54</v>
      </c>
      <c r="C34" s="25"/>
      <c r="D34" s="26"/>
      <c r="E34" s="25"/>
      <c r="F34" s="27"/>
      <c r="G34" s="27"/>
      <c r="H34" s="26"/>
      <c r="I34" s="28" t="n">
        <f aca="false">D34-C34-F34+E34-H34+G34+N34+O34</f>
        <v>0</v>
      </c>
      <c r="J34" s="29" t="n">
        <f aca="false">R34</f>
        <v>0</v>
      </c>
      <c r="K34" s="82"/>
      <c r="L34" s="31"/>
      <c r="M34" s="32" t="str">
        <f aca="false">IF(OR(K34="U",K34="K"),J34,"0:00")</f>
        <v>0:00</v>
      </c>
      <c r="N34" s="1" t="str">
        <f aca="false">IF(M34&lt;&gt;"0:00",J34,"0:00")</f>
        <v>0:00</v>
      </c>
      <c r="O34" s="0" t="str">
        <f aca="false">IF(K34="0,5 U","03:51","0:00")</f>
        <v>0:00</v>
      </c>
      <c r="R34" s="4" t="n">
        <f aca="false">IF(A34="Mo",Januar!$Q$8,IF(A34="Di",Januar!$Q$9,IF(A34="Mi",Januar!$Q$10,IF(A34="Do",Januar!$Q$11,IF(A34="Fr",Januar!$Q$12,Januar!$Q$13)))))</f>
        <v>0</v>
      </c>
    </row>
    <row r="35" customFormat="false" ht="12.75" hidden="false" customHeight="false" outlineLevel="0" collapsed="false">
      <c r="A35" s="80" t="s">
        <v>17</v>
      </c>
      <c r="B35" s="81" t="s">
        <v>55</v>
      </c>
      <c r="C35" s="25"/>
      <c r="D35" s="26"/>
      <c r="E35" s="25"/>
      <c r="F35" s="27"/>
      <c r="G35" s="27"/>
      <c r="H35" s="26"/>
      <c r="I35" s="28" t="n">
        <f aca="false">D35-C35-F35+E35-H35+G35+N35+O35</f>
        <v>0</v>
      </c>
      <c r="J35" s="29" t="n">
        <f aca="false">R35</f>
        <v>0.166666666666667</v>
      </c>
      <c r="K35" s="82"/>
      <c r="L35" s="31"/>
      <c r="M35" s="32" t="str">
        <f aca="false">IF(OR(K35="U",K35="K"),J35,"0:00")</f>
        <v>0:00</v>
      </c>
      <c r="N35" s="1" t="str">
        <f aca="false">IF(M35&lt;&gt;"0:00",J35,"0:00")</f>
        <v>0:00</v>
      </c>
      <c r="O35" s="0" t="str">
        <f aca="false">IF(K35="0,5 U","03:51","0:00")</f>
        <v>0:00</v>
      </c>
      <c r="R35" s="4" t="n">
        <f aca="false">IF(A35="Mo",Januar!$Q$8,IF(A35="Di",Januar!$Q$9,IF(A35="Mi",Januar!$Q$10,IF(A35="Do",Januar!$Q$11,IF(A35="Fr",Januar!$Q$12,Januar!$Q$13)))))</f>
        <v>0.166666666666667</v>
      </c>
    </row>
    <row r="36" customFormat="false" ht="12.75" hidden="false" customHeight="false" outlineLevel="0" collapsed="false">
      <c r="A36" s="80" t="s">
        <v>20</v>
      </c>
      <c r="B36" s="81" t="s">
        <v>56</v>
      </c>
      <c r="C36" s="25"/>
      <c r="D36" s="26"/>
      <c r="E36" s="25"/>
      <c r="F36" s="27"/>
      <c r="G36" s="27"/>
      <c r="H36" s="26"/>
      <c r="I36" s="28" t="n">
        <f aca="false">D36-C36-F36+E36-H36+G36+N36+O36</f>
        <v>0</v>
      </c>
      <c r="J36" s="29" t="n">
        <f aca="false">R36</f>
        <v>0.166666666666667</v>
      </c>
      <c r="K36" s="82"/>
      <c r="L36" s="31"/>
      <c r="M36" s="32" t="str">
        <f aca="false">IF(OR(K36="U",K36="K"),J36,"0:00")</f>
        <v>0:00</v>
      </c>
      <c r="N36" s="1" t="str">
        <f aca="false">IF(M36&lt;&gt;"0:00",J36,"0:00")</f>
        <v>0:00</v>
      </c>
      <c r="O36" s="0" t="str">
        <f aca="false">IF(K36="0,5 U","03:51","0:00")</f>
        <v>0:00</v>
      </c>
      <c r="R36" s="4" t="n">
        <f aca="false">IF(A36="Mo",Januar!$Q$8,IF(A36="Di",Januar!$Q$9,IF(A36="Mi",Januar!$Q$10,IF(A36="Do",Januar!$Q$11,IF(A36="Fr",Januar!$Q$12,Januar!$Q$13)))))</f>
        <v>0.166666666666667</v>
      </c>
      <c r="U36" s="4"/>
    </row>
    <row r="37" customFormat="false" ht="12.75" hidden="false" customHeight="false" outlineLevel="0" collapsed="false">
      <c r="A37" s="80" t="s">
        <v>23</v>
      </c>
      <c r="B37" s="81" t="s">
        <v>57</v>
      </c>
      <c r="C37" s="25"/>
      <c r="D37" s="26"/>
      <c r="E37" s="25"/>
      <c r="F37" s="27"/>
      <c r="G37" s="27"/>
      <c r="H37" s="26"/>
      <c r="I37" s="28" t="n">
        <f aca="false">D37-C37-F37+E37-H37+G37+N37+O37</f>
        <v>0</v>
      </c>
      <c r="J37" s="29" t="n">
        <f aca="false">R37</f>
        <v>0.166666666666667</v>
      </c>
      <c r="K37" s="82"/>
      <c r="L37" s="31"/>
      <c r="M37" s="32" t="str">
        <f aca="false">IF(OR(K37="U",K37="K"),J37,"0:00")</f>
        <v>0:00</v>
      </c>
      <c r="N37" s="1" t="str">
        <f aca="false">IF(M37&lt;&gt;"0:00",J37,"0:00")</f>
        <v>0:00</v>
      </c>
      <c r="O37" s="0" t="str">
        <f aca="false">IF(K37="0,5 U","03:51","0:00")</f>
        <v>0:00</v>
      </c>
      <c r="R37" s="4" t="n">
        <f aca="false">IF(A37="Mo",Januar!$Q$8,IF(A37="Di",Januar!$Q$9,IF(A37="Mi",Januar!$Q$10,IF(A37="Do",Januar!$Q$11,IF(A37="Fr",Januar!$Q$12,Januar!$Q$13)))))</f>
        <v>0.166666666666667</v>
      </c>
      <c r="U37" s="88"/>
    </row>
    <row r="38" customFormat="false" ht="12.75" hidden="false" customHeight="false" outlineLevel="0" collapsed="false">
      <c r="A38" s="83" t="s">
        <v>15</v>
      </c>
      <c r="B38" s="84" t="s">
        <v>58</v>
      </c>
      <c r="C38" s="41"/>
      <c r="D38" s="42"/>
      <c r="E38" s="41"/>
      <c r="F38" s="43"/>
      <c r="G38" s="43"/>
      <c r="H38" s="42"/>
      <c r="I38" s="44" t="n">
        <f aca="false">D38-C38-F38+E38-H38+G38+N38+O38</f>
        <v>0</v>
      </c>
      <c r="J38" s="45" t="n">
        <v>0</v>
      </c>
      <c r="K38" s="41"/>
      <c r="L38" s="46"/>
      <c r="M38" s="32" t="str">
        <f aca="false">IF(OR(K38="U",K38="K"),J38,"0:00")</f>
        <v>0:00</v>
      </c>
      <c r="N38" s="1" t="str">
        <f aca="false">IF(M38&lt;&gt;"0:00",J38,"0:00")</f>
        <v>0:00</v>
      </c>
      <c r="O38" s="0" t="str">
        <f aca="false">IF(K38="0,5 U","03:51","0:00")</f>
        <v>0:00</v>
      </c>
      <c r="R38" s="4" t="n">
        <f aca="false">IF(A38="Mo",Januar!$Q$8,IF(A38="Di",Januar!$Q$9,IF(A38="Mi",Januar!$Q$10,IF(A38="Do",Januar!$Q$11,IF(A38="Fr",Januar!$Q$12,Januar!$Q$13)))))</f>
        <v>0.166666666666667</v>
      </c>
    </row>
    <row r="39" customFormat="false" ht="12.75" hidden="false" customHeight="false" outlineLevel="0" collapsed="false">
      <c r="E39" s="16"/>
      <c r="F39" s="16"/>
      <c r="G39" s="16"/>
      <c r="H39" s="16"/>
      <c r="I39" s="21" t="s">
        <v>12</v>
      </c>
      <c r="J39" s="15" t="s">
        <v>13</v>
      </c>
    </row>
    <row r="40" customFormat="false" ht="12.75" hidden="false" customHeight="false" outlineLevel="0" collapsed="false">
      <c r="E40" s="16" t="s">
        <v>59</v>
      </c>
      <c r="F40" s="16"/>
      <c r="G40" s="16"/>
      <c r="H40" s="16"/>
      <c r="I40" s="47" t="n">
        <f aca="false">SUM(I8:I38)</f>
        <v>1.84375</v>
      </c>
      <c r="J40" s="47" t="n">
        <f aca="false">SUM(J8:J38)</f>
        <v>2.83333333333333</v>
      </c>
    </row>
    <row r="41" customFormat="false" ht="13.5" hidden="false" customHeight="false" outlineLevel="0" collapsed="false">
      <c r="I41" s="4"/>
      <c r="J41" s="4"/>
    </row>
    <row r="42" customFormat="false" ht="12.75" hidden="false" customHeight="false" outlineLevel="0" collapsed="false">
      <c r="B42" s="48"/>
      <c r="C42" s="49"/>
      <c r="D42" s="49"/>
      <c r="E42" s="49"/>
      <c r="F42" s="49"/>
      <c r="G42" s="49"/>
      <c r="H42" s="50"/>
      <c r="I42" s="4"/>
      <c r="J42" s="51"/>
      <c r="K42" s="49"/>
      <c r="L42" s="50"/>
    </row>
    <row r="43" customFormat="false" ht="12.75" hidden="false" customHeight="false" outlineLevel="0" collapsed="false">
      <c r="B43" s="53"/>
      <c r="C43" s="0" t="s">
        <v>60</v>
      </c>
      <c r="G43" s="34" t="n">
        <f aca="false">I40</f>
        <v>1.84375</v>
      </c>
      <c r="H43" s="54"/>
      <c r="I43" s="4"/>
      <c r="J43" s="55" t="s">
        <v>61</v>
      </c>
      <c r="K43" s="4"/>
      <c r="L43" s="54"/>
    </row>
    <row r="44" customFormat="false" ht="12.75" hidden="false" customHeight="false" outlineLevel="0" collapsed="false">
      <c r="B44" s="53"/>
      <c r="H44" s="54"/>
      <c r="I44" s="4"/>
      <c r="J44" s="56" t="str">
        <f aca="false">Januar!J44</f>
        <v>Resturlaub 2025</v>
      </c>
      <c r="K44" s="4"/>
      <c r="L44" s="62" t="n">
        <f aca="false">Januar!L44</f>
        <v>4</v>
      </c>
    </row>
    <row r="45" customFormat="false" ht="12.75" hidden="false" customHeight="false" outlineLevel="0" collapsed="false">
      <c r="B45" s="53"/>
      <c r="C45" s="0" t="s">
        <v>63</v>
      </c>
      <c r="G45" s="68" t="str">
        <f aca="false">November!G50</f>
        <v>00:00</v>
      </c>
      <c r="H45" s="54"/>
      <c r="J45" s="56" t="str">
        <f aca="false">Januar!J45</f>
        <v>Jahresurlaub 2026</v>
      </c>
      <c r="K45" s="4"/>
      <c r="L45" s="62" t="n">
        <f aca="false">Januar!L45</f>
        <v>24</v>
      </c>
    </row>
    <row r="46" customFormat="false" ht="12.75" hidden="false" customHeight="false" outlineLevel="0" collapsed="false">
      <c r="B46" s="53"/>
      <c r="C46" s="0" t="s">
        <v>65</v>
      </c>
      <c r="F46" s="59" t="s">
        <v>66</v>
      </c>
      <c r="G46" s="79" t="n">
        <f aca="false">November!G51</f>
        <v>2.09097222222223</v>
      </c>
      <c r="H46" s="54"/>
      <c r="I46" s="4"/>
      <c r="J46" s="56" t="str">
        <f aca="false">Januar!J46</f>
        <v>Zusatzurlaub SGB IX</v>
      </c>
      <c r="K46" s="4"/>
      <c r="L46" s="62" t="n">
        <f aca="false">Januar!L46</f>
        <v>0</v>
      </c>
    </row>
    <row r="47" customFormat="false" ht="12.75" hidden="false" customHeight="false" outlineLevel="0" collapsed="false">
      <c r="B47" s="53"/>
      <c r="H47" s="54"/>
      <c r="I47" s="4"/>
      <c r="J47" s="61" t="str">
        <f aca="false">Januar!J47</f>
        <v>Gesamturlaub 2026</v>
      </c>
      <c r="K47" s="4"/>
      <c r="L47" s="62" t="n">
        <f aca="false">Januar!L47</f>
        <v>28</v>
      </c>
    </row>
    <row r="48" customFormat="false" ht="12.75" hidden="false" customHeight="false" outlineLevel="0" collapsed="false">
      <c r="B48" s="53"/>
      <c r="C48" s="0" t="s">
        <v>69</v>
      </c>
      <c r="G48" s="34" t="n">
        <f aca="false">J40</f>
        <v>2.83333333333333</v>
      </c>
      <c r="H48" s="54"/>
      <c r="J48" s="63" t="str">
        <f aca="false">Januar!J48</f>
        <v>genommener Urlaub</v>
      </c>
      <c r="L48" s="62" t="n">
        <f aca="false">M48+November!L48+0.5*N48</f>
        <v>11</v>
      </c>
      <c r="M48" s="0" t="n">
        <f aca="false">COUNTIF($K$8:$K$38,"u")</f>
        <v>0</v>
      </c>
      <c r="N48" s="0" t="n">
        <f aca="false">COUNTIF($K$8:$K$38,"0,5 u")</f>
        <v>0</v>
      </c>
    </row>
    <row r="49" customFormat="false" ht="12.75" hidden="false" customHeight="false" outlineLevel="0" collapsed="false">
      <c r="B49" s="65"/>
      <c r="C49" s="10"/>
      <c r="D49" s="10"/>
      <c r="E49" s="10"/>
      <c r="F49" s="10"/>
      <c r="G49" s="10"/>
      <c r="H49" s="66"/>
      <c r="J49" s="65"/>
      <c r="K49" s="10"/>
      <c r="L49" s="66"/>
    </row>
    <row r="50" customFormat="false" ht="12.75" hidden="false" customHeight="false" outlineLevel="0" collapsed="false">
      <c r="B50" s="53"/>
      <c r="C50" s="0" t="s">
        <v>110</v>
      </c>
      <c r="G50" s="68" t="str">
        <f aca="false">IF(G43+G45-G46-G48&gt;=0,G43+G45-G46-G48,"00:00")</f>
        <v>00:00</v>
      </c>
      <c r="H50" s="54"/>
      <c r="J50" s="63" t="str">
        <f aca="false">Januar!J50</f>
        <v>Anspruch 2026</v>
      </c>
      <c r="L50" s="62" t="n">
        <f aca="false">L47-L48</f>
        <v>17</v>
      </c>
    </row>
    <row r="51" customFormat="false" ht="13.5" hidden="false" customHeight="false" outlineLevel="0" collapsed="false">
      <c r="B51" s="53"/>
      <c r="C51" s="0" t="s">
        <v>111</v>
      </c>
      <c r="F51" s="59" t="s">
        <v>66</v>
      </c>
      <c r="G51" s="69" t="n">
        <f aca="false">IF(G43+G45-G46-G48&lt;0,-1*(G43+G45-G46-G48),"00:00")</f>
        <v>3.08055555555556</v>
      </c>
      <c r="H51" s="54"/>
      <c r="J51" s="70"/>
      <c r="K51" s="71"/>
      <c r="L51" s="72"/>
    </row>
    <row r="52" customFormat="false" ht="13.5" hidden="false" customHeight="false" outlineLevel="0" collapsed="false">
      <c r="B52" s="70"/>
      <c r="C52" s="71"/>
      <c r="D52" s="71"/>
      <c r="E52" s="71"/>
      <c r="F52" s="71"/>
      <c r="G52" s="71"/>
      <c r="H52" s="72"/>
    </row>
    <row r="54" customFormat="false" ht="12.75" hidden="false" customHeight="false" outlineLevel="0" collapsed="false">
      <c r="B54" s="73" t="s">
        <v>74</v>
      </c>
      <c r="M54" s="1"/>
      <c r="N54" s="1"/>
    </row>
  </sheetData>
  <mergeCells count="5">
    <mergeCell ref="B1:L1"/>
    <mergeCell ref="C6:D6"/>
    <mergeCell ref="E6:H6"/>
    <mergeCell ref="I6:J6"/>
    <mergeCell ref="K6:L6"/>
  </mergeCells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3" colorId="64" zoomScale="200" zoomScaleNormal="200" zoomScalePageLayoutView="100" workbookViewId="0">
      <selection pane="topLeft" activeCell="I26" activeCellId="0" sqref="I26"/>
    </sheetView>
  </sheetViews>
  <sheetFormatPr defaultColWidth="11.48828125" defaultRowHeight="12.75" zeroHeight="false" outlineLevelRow="0" outlineLevelCol="0"/>
  <sheetData/>
  <printOptions headings="false" gridLines="true" gridLinesSet="true" horizontalCentered="false" verticalCentered="false"/>
  <pageMargins left="0.39375" right="0.393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  <Company>BOLim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2002-12-20T15:42:15Z</dcterms:created>
  <dc:creator>ZinstallUser</dc:creator>
  <dc:description/>
  <dc:language>de-DE</dc:language>
  <cp:lastModifiedBy/>
  <cp:lastPrinted>2026-02-12T14:48:49Z</cp:lastPrinted>
  <dcterms:modified xsi:type="dcterms:W3CDTF">2026-02-12T14:48:43Z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